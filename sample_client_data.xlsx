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l\BDM project\Data\main\"/>
    </mc:Choice>
  </mc:AlternateContent>
  <xr:revisionPtr revIDLastSave="0" documentId="8_{7B7FF03E-DC48-4449-A7A1-CE613196AAF3}" xr6:coauthVersionLast="47" xr6:coauthVersionMax="47" xr10:uidLastSave="{00000000-0000-0000-0000-000000000000}"/>
  <bookViews>
    <workbookView xWindow="-98" yWindow="-98" windowWidth="21795" windowHeight="12975" xr2:uid="{37193844-A3BE-403E-9899-5DBA99B68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7" i="1" l="1"/>
  <c r="R267" i="1"/>
  <c r="P267" i="1"/>
  <c r="Q267" i="1" s="1"/>
  <c r="S266" i="1"/>
  <c r="R266" i="1"/>
  <c r="P266" i="1"/>
  <c r="S265" i="1"/>
  <c r="R265" i="1"/>
  <c r="P265" i="1"/>
  <c r="S264" i="1"/>
  <c r="R264" i="1"/>
  <c r="P264" i="1"/>
  <c r="S263" i="1"/>
  <c r="R263" i="1"/>
  <c r="P263" i="1"/>
  <c r="S262" i="1"/>
  <c r="R262" i="1"/>
  <c r="P262" i="1"/>
  <c r="S261" i="1"/>
  <c r="R261" i="1"/>
  <c r="P261" i="1"/>
  <c r="Q261" i="1" s="1"/>
  <c r="S260" i="1"/>
  <c r="R260" i="1"/>
  <c r="P260" i="1"/>
  <c r="S259" i="1"/>
  <c r="R259" i="1"/>
  <c r="P259" i="1"/>
  <c r="S258" i="1"/>
  <c r="R258" i="1"/>
  <c r="P258" i="1"/>
  <c r="S257" i="1"/>
  <c r="R257" i="1"/>
  <c r="P257" i="1"/>
  <c r="S256" i="1"/>
  <c r="R256" i="1"/>
  <c r="P256" i="1"/>
  <c r="S255" i="1"/>
  <c r="R255" i="1"/>
  <c r="P255" i="1"/>
  <c r="S254" i="1"/>
  <c r="R254" i="1"/>
  <c r="P254" i="1"/>
  <c r="S253" i="1"/>
  <c r="R253" i="1"/>
  <c r="P253" i="1"/>
  <c r="S252" i="1"/>
  <c r="R252" i="1"/>
  <c r="P252" i="1"/>
  <c r="Q252" i="1" s="1"/>
  <c r="S251" i="1"/>
  <c r="R251" i="1"/>
  <c r="P251" i="1"/>
  <c r="Q251" i="1" s="1"/>
  <c r="S250" i="1"/>
  <c r="R250" i="1"/>
  <c r="P250" i="1"/>
  <c r="S249" i="1"/>
  <c r="R249" i="1"/>
  <c r="P249" i="1"/>
  <c r="S248" i="1"/>
  <c r="R248" i="1"/>
  <c r="P248" i="1"/>
  <c r="S247" i="1"/>
  <c r="R247" i="1"/>
  <c r="P247" i="1"/>
  <c r="S246" i="1"/>
  <c r="R246" i="1"/>
  <c r="P246" i="1"/>
  <c r="Q246" i="1" s="1"/>
  <c r="S245" i="1"/>
  <c r="R245" i="1"/>
  <c r="P245" i="1"/>
  <c r="Q245" i="1" s="1"/>
  <c r="S244" i="1"/>
  <c r="R244" i="1"/>
  <c r="P244" i="1"/>
  <c r="S243" i="1"/>
  <c r="R243" i="1"/>
  <c r="P243" i="1"/>
  <c r="S242" i="1"/>
  <c r="R242" i="1"/>
  <c r="P242" i="1"/>
  <c r="S241" i="1"/>
  <c r="R241" i="1"/>
  <c r="P241" i="1"/>
  <c r="S240" i="1"/>
  <c r="R240" i="1"/>
  <c r="P240" i="1"/>
  <c r="S239" i="1"/>
  <c r="R239" i="1"/>
  <c r="P239" i="1"/>
  <c r="S238" i="1"/>
  <c r="R238" i="1"/>
  <c r="P238" i="1"/>
  <c r="S237" i="1"/>
  <c r="R237" i="1"/>
  <c r="P237" i="1"/>
  <c r="S236" i="1"/>
  <c r="R236" i="1"/>
  <c r="P236" i="1"/>
  <c r="Q236" i="1" s="1"/>
  <c r="S235" i="1"/>
  <c r="R235" i="1"/>
  <c r="P235" i="1"/>
  <c r="Q235" i="1" s="1"/>
  <c r="S234" i="1"/>
  <c r="R234" i="1"/>
  <c r="P234" i="1"/>
  <c r="S233" i="1"/>
  <c r="R233" i="1"/>
  <c r="P233" i="1"/>
  <c r="S232" i="1"/>
  <c r="R232" i="1"/>
  <c r="P232" i="1"/>
  <c r="S231" i="1"/>
  <c r="R231" i="1"/>
  <c r="P231" i="1"/>
  <c r="S230" i="1"/>
  <c r="R230" i="1"/>
  <c r="P230" i="1"/>
  <c r="Q230" i="1" s="1"/>
  <c r="S229" i="1"/>
  <c r="R229" i="1"/>
  <c r="P229" i="1"/>
  <c r="Q229" i="1" s="1"/>
  <c r="S228" i="1"/>
  <c r="R228" i="1"/>
  <c r="P228" i="1"/>
  <c r="S227" i="1"/>
  <c r="R227" i="1"/>
  <c r="P227" i="1"/>
  <c r="S226" i="1"/>
  <c r="R226" i="1"/>
  <c r="P226" i="1"/>
  <c r="S225" i="1"/>
  <c r="R225" i="1"/>
  <c r="P225" i="1"/>
  <c r="S224" i="1"/>
  <c r="R224" i="1"/>
  <c r="P224" i="1"/>
  <c r="S223" i="1"/>
  <c r="R223" i="1"/>
  <c r="P223" i="1"/>
  <c r="S222" i="1"/>
  <c r="R222" i="1"/>
  <c r="P222" i="1"/>
  <c r="S221" i="1"/>
  <c r="R221" i="1"/>
  <c r="P221" i="1"/>
  <c r="S220" i="1"/>
  <c r="R220" i="1"/>
  <c r="P220" i="1"/>
  <c r="Q220" i="1" s="1"/>
  <c r="S219" i="1"/>
  <c r="R219" i="1"/>
  <c r="P219" i="1"/>
  <c r="Q219" i="1" s="1"/>
  <c r="S218" i="1"/>
  <c r="R218" i="1"/>
  <c r="P218" i="1"/>
  <c r="S217" i="1"/>
  <c r="R217" i="1"/>
  <c r="P217" i="1"/>
  <c r="S216" i="1"/>
  <c r="R216" i="1"/>
  <c r="P216" i="1"/>
  <c r="S215" i="1"/>
  <c r="R215" i="1"/>
  <c r="P215" i="1"/>
  <c r="S214" i="1"/>
  <c r="R214" i="1"/>
  <c r="P214" i="1"/>
  <c r="Q214" i="1" s="1"/>
  <c r="S213" i="1"/>
  <c r="R213" i="1"/>
  <c r="P213" i="1"/>
  <c r="Q213" i="1" s="1"/>
  <c r="S212" i="1"/>
  <c r="R212" i="1"/>
  <c r="P212" i="1"/>
  <c r="S211" i="1"/>
  <c r="R211" i="1"/>
  <c r="P211" i="1"/>
  <c r="S210" i="1"/>
  <c r="R210" i="1"/>
  <c r="P210" i="1"/>
  <c r="S209" i="1"/>
  <c r="R209" i="1"/>
  <c r="P209" i="1"/>
  <c r="S208" i="1"/>
  <c r="R208" i="1"/>
  <c r="P208" i="1"/>
  <c r="S207" i="1"/>
  <c r="R207" i="1"/>
  <c r="P207" i="1"/>
  <c r="S206" i="1"/>
  <c r="R206" i="1"/>
  <c r="P206" i="1"/>
  <c r="S205" i="1"/>
  <c r="R205" i="1"/>
  <c r="P205" i="1"/>
  <c r="S204" i="1"/>
  <c r="R204" i="1"/>
  <c r="P204" i="1"/>
  <c r="Q204" i="1" s="1"/>
  <c r="S203" i="1"/>
  <c r="R203" i="1"/>
  <c r="P203" i="1"/>
  <c r="Q203" i="1" s="1"/>
  <c r="S202" i="1"/>
  <c r="R202" i="1"/>
  <c r="P202" i="1"/>
  <c r="S201" i="1"/>
  <c r="R201" i="1"/>
  <c r="P201" i="1"/>
  <c r="S200" i="1"/>
  <c r="R200" i="1"/>
  <c r="P200" i="1"/>
  <c r="S199" i="1"/>
  <c r="R199" i="1"/>
  <c r="P199" i="1"/>
  <c r="S198" i="1"/>
  <c r="R198" i="1"/>
  <c r="P198" i="1"/>
  <c r="Q198" i="1" s="1"/>
  <c r="S197" i="1"/>
  <c r="R197" i="1"/>
  <c r="P197" i="1"/>
  <c r="Q197" i="1" s="1"/>
  <c r="S196" i="1"/>
  <c r="R196" i="1"/>
  <c r="P196" i="1"/>
  <c r="S195" i="1"/>
  <c r="R195" i="1"/>
  <c r="P195" i="1"/>
  <c r="S194" i="1"/>
  <c r="R194" i="1"/>
  <c r="P194" i="1"/>
  <c r="S193" i="1"/>
  <c r="R193" i="1"/>
  <c r="P193" i="1"/>
  <c r="S192" i="1"/>
  <c r="R192" i="1"/>
  <c r="P192" i="1"/>
  <c r="S191" i="1"/>
  <c r="R191" i="1"/>
  <c r="P191" i="1"/>
  <c r="S190" i="1"/>
  <c r="R190" i="1"/>
  <c r="P190" i="1"/>
  <c r="Q190" i="1" s="1"/>
  <c r="S189" i="1"/>
  <c r="R189" i="1"/>
  <c r="P189" i="1"/>
  <c r="S188" i="1"/>
  <c r="R188" i="1"/>
  <c r="P188" i="1"/>
  <c r="S187" i="1"/>
  <c r="R187" i="1"/>
  <c r="P187" i="1"/>
  <c r="S186" i="1"/>
  <c r="R186" i="1"/>
  <c r="P186" i="1"/>
  <c r="Q186" i="1" s="1"/>
  <c r="S185" i="1"/>
  <c r="R185" i="1"/>
  <c r="P185" i="1"/>
  <c r="S184" i="1"/>
  <c r="R184" i="1"/>
  <c r="P184" i="1"/>
  <c r="S183" i="1"/>
  <c r="R183" i="1"/>
  <c r="P183" i="1"/>
  <c r="S182" i="1"/>
  <c r="R182" i="1"/>
  <c r="Q182" i="1"/>
  <c r="P182" i="1"/>
  <c r="S181" i="1"/>
  <c r="R181" i="1"/>
  <c r="P181" i="1"/>
  <c r="Q181" i="1" s="1"/>
  <c r="S180" i="1"/>
  <c r="R180" i="1"/>
  <c r="P180" i="1"/>
  <c r="S179" i="1"/>
  <c r="R179" i="1"/>
  <c r="P179" i="1"/>
  <c r="S178" i="1"/>
  <c r="R178" i="1"/>
  <c r="P178" i="1"/>
  <c r="Q178" i="1" s="1"/>
  <c r="S177" i="1"/>
  <c r="R177" i="1"/>
  <c r="P177" i="1"/>
  <c r="Q177" i="1" s="1"/>
  <c r="S176" i="1"/>
  <c r="R176" i="1"/>
  <c r="P176" i="1"/>
  <c r="S175" i="1"/>
  <c r="R175" i="1"/>
  <c r="P175" i="1"/>
  <c r="S174" i="1"/>
  <c r="R174" i="1"/>
  <c r="P174" i="1"/>
  <c r="Q174" i="1" s="1"/>
  <c r="S173" i="1"/>
  <c r="R173" i="1"/>
  <c r="P173" i="1"/>
  <c r="Q173" i="1" s="1"/>
  <c r="S172" i="1"/>
  <c r="R172" i="1"/>
  <c r="P172" i="1"/>
  <c r="Q172" i="1" s="1"/>
  <c r="S171" i="1"/>
  <c r="R171" i="1"/>
  <c r="P171" i="1"/>
  <c r="Q171" i="1" s="1"/>
  <c r="S170" i="1"/>
  <c r="R170" i="1"/>
  <c r="P170" i="1"/>
  <c r="S169" i="1"/>
  <c r="R169" i="1"/>
  <c r="P169" i="1"/>
  <c r="S168" i="1"/>
  <c r="R168" i="1"/>
  <c r="P168" i="1"/>
  <c r="Q168" i="1" s="1"/>
  <c r="S167" i="1"/>
  <c r="R167" i="1"/>
  <c r="P167" i="1"/>
  <c r="S166" i="1"/>
  <c r="R166" i="1"/>
  <c r="P166" i="1"/>
  <c r="S165" i="1"/>
  <c r="R165" i="1"/>
  <c r="P165" i="1"/>
  <c r="S164" i="1"/>
  <c r="R164" i="1"/>
  <c r="P164" i="1"/>
  <c r="S163" i="1"/>
  <c r="R163" i="1"/>
  <c r="P163" i="1"/>
  <c r="Q163" i="1" s="1"/>
  <c r="S162" i="1"/>
  <c r="R162" i="1"/>
  <c r="P162" i="1"/>
  <c r="Q162" i="1" s="1"/>
  <c r="S161" i="1"/>
  <c r="R161" i="1"/>
  <c r="P161" i="1"/>
  <c r="Q161" i="1" s="1"/>
  <c r="S160" i="1"/>
  <c r="R160" i="1"/>
  <c r="P160" i="1"/>
  <c r="S159" i="1"/>
  <c r="R159" i="1"/>
  <c r="P159" i="1"/>
  <c r="S158" i="1"/>
  <c r="R158" i="1"/>
  <c r="P158" i="1"/>
  <c r="Q158" i="1" s="1"/>
  <c r="S157" i="1"/>
  <c r="R157" i="1"/>
  <c r="P157" i="1"/>
  <c r="Q157" i="1" s="1"/>
  <c r="S156" i="1"/>
  <c r="R156" i="1"/>
  <c r="P156" i="1"/>
  <c r="Q156" i="1" s="1"/>
  <c r="S155" i="1"/>
  <c r="R155" i="1"/>
  <c r="P155" i="1"/>
  <c r="S154" i="1"/>
  <c r="R154" i="1"/>
  <c r="P154" i="1"/>
  <c r="S153" i="1"/>
  <c r="R153" i="1"/>
  <c r="P153" i="1"/>
  <c r="S152" i="1"/>
  <c r="R152" i="1"/>
  <c r="P152" i="1"/>
  <c r="S151" i="1"/>
  <c r="R151" i="1"/>
  <c r="P151" i="1"/>
  <c r="S150" i="1"/>
  <c r="R150" i="1"/>
  <c r="P150" i="1"/>
  <c r="Q150" i="1" s="1"/>
  <c r="S149" i="1"/>
  <c r="R149" i="1"/>
  <c r="P149" i="1"/>
  <c r="S148" i="1"/>
  <c r="R148" i="1"/>
  <c r="P148" i="1"/>
  <c r="Q148" i="1" s="1"/>
  <c r="S147" i="1"/>
  <c r="R147" i="1"/>
  <c r="P147" i="1"/>
  <c r="S146" i="1"/>
  <c r="R146" i="1"/>
  <c r="P146" i="1"/>
  <c r="S145" i="1"/>
  <c r="R145" i="1"/>
  <c r="P145" i="1"/>
  <c r="Q145" i="1" s="1"/>
  <c r="S144" i="1"/>
  <c r="R144" i="1"/>
  <c r="P144" i="1"/>
  <c r="S143" i="1"/>
  <c r="R143" i="1"/>
  <c r="P143" i="1"/>
  <c r="S142" i="1"/>
  <c r="R142" i="1"/>
  <c r="P142" i="1"/>
  <c r="Q142" i="1" s="1"/>
  <c r="S141" i="1"/>
  <c r="R141" i="1"/>
  <c r="P141" i="1"/>
  <c r="Q141" i="1" s="1"/>
  <c r="S140" i="1"/>
  <c r="R140" i="1"/>
  <c r="P140" i="1"/>
  <c r="S139" i="1"/>
  <c r="R139" i="1"/>
  <c r="P139" i="1"/>
  <c r="S138" i="1"/>
  <c r="R138" i="1"/>
  <c r="P138" i="1"/>
  <c r="S137" i="1"/>
  <c r="R137" i="1"/>
  <c r="P137" i="1"/>
  <c r="Q137" i="1" s="1"/>
  <c r="S136" i="1"/>
  <c r="R136" i="1"/>
  <c r="P136" i="1"/>
  <c r="Q136" i="1" s="1"/>
  <c r="S135" i="1"/>
  <c r="R135" i="1"/>
  <c r="P135" i="1"/>
  <c r="S134" i="1"/>
  <c r="R134" i="1"/>
  <c r="P134" i="1"/>
  <c r="S133" i="1"/>
  <c r="R133" i="1"/>
  <c r="P133" i="1"/>
  <c r="S132" i="1"/>
  <c r="R132" i="1"/>
  <c r="P132" i="1"/>
  <c r="S131" i="1"/>
  <c r="R131" i="1"/>
  <c r="P131" i="1"/>
  <c r="S130" i="1"/>
  <c r="R130" i="1"/>
  <c r="P130" i="1"/>
  <c r="S129" i="1"/>
  <c r="R129" i="1"/>
  <c r="P129" i="1"/>
  <c r="Q129" i="1" s="1"/>
  <c r="S128" i="1"/>
  <c r="R128" i="1"/>
  <c r="P128" i="1"/>
  <c r="S127" i="1"/>
  <c r="R127" i="1"/>
  <c r="P127" i="1"/>
  <c r="S126" i="1"/>
  <c r="R126" i="1"/>
  <c r="Q126" i="1"/>
  <c r="P126" i="1"/>
  <c r="S125" i="1"/>
  <c r="R125" i="1"/>
  <c r="P125" i="1"/>
  <c r="S124" i="1"/>
  <c r="R124" i="1"/>
  <c r="P124" i="1"/>
  <c r="Q124" i="1" s="1"/>
  <c r="S123" i="1"/>
  <c r="R123" i="1"/>
  <c r="P123" i="1"/>
  <c r="Q123" i="1" s="1"/>
  <c r="S122" i="1"/>
  <c r="R122" i="1"/>
  <c r="P122" i="1"/>
  <c r="S121" i="1"/>
  <c r="R121" i="1"/>
  <c r="P121" i="1"/>
  <c r="S120" i="1"/>
  <c r="R120" i="1"/>
  <c r="P120" i="1"/>
  <c r="S119" i="1"/>
  <c r="R119" i="1"/>
  <c r="P119" i="1"/>
  <c r="S118" i="1"/>
  <c r="R118" i="1"/>
  <c r="P118" i="1"/>
  <c r="S117" i="1"/>
  <c r="R117" i="1"/>
  <c r="P117" i="1"/>
  <c r="S116" i="1"/>
  <c r="R116" i="1"/>
  <c r="Q116" i="1"/>
  <c r="P116" i="1"/>
  <c r="S115" i="1"/>
  <c r="R115" i="1"/>
  <c r="P115" i="1"/>
  <c r="S114" i="1"/>
  <c r="R114" i="1"/>
  <c r="P114" i="1"/>
  <c r="Q114" i="1" s="1"/>
  <c r="S113" i="1"/>
  <c r="R113" i="1"/>
  <c r="P113" i="1"/>
  <c r="S112" i="1"/>
  <c r="R112" i="1"/>
  <c r="P112" i="1"/>
  <c r="S111" i="1"/>
  <c r="R111" i="1"/>
  <c r="P111" i="1"/>
  <c r="S110" i="1"/>
  <c r="R110" i="1"/>
  <c r="P110" i="1"/>
  <c r="Q110" i="1" s="1"/>
  <c r="S109" i="1"/>
  <c r="R109" i="1"/>
  <c r="P109" i="1"/>
  <c r="S108" i="1"/>
  <c r="R108" i="1"/>
  <c r="P108" i="1"/>
  <c r="S107" i="1"/>
  <c r="R107" i="1"/>
  <c r="P107" i="1"/>
  <c r="Q107" i="1" s="1"/>
  <c r="S106" i="1"/>
  <c r="R106" i="1"/>
  <c r="P106" i="1"/>
  <c r="Q106" i="1" s="1"/>
  <c r="S105" i="1"/>
  <c r="R105" i="1"/>
  <c r="P105" i="1"/>
  <c r="Q105" i="1" s="1"/>
  <c r="S104" i="1"/>
  <c r="R104" i="1"/>
  <c r="P104" i="1"/>
  <c r="S103" i="1"/>
  <c r="R103" i="1"/>
  <c r="P103" i="1"/>
  <c r="S102" i="1"/>
  <c r="R102" i="1"/>
  <c r="P102" i="1"/>
  <c r="S101" i="1"/>
  <c r="R101" i="1"/>
  <c r="P101" i="1"/>
  <c r="Q101" i="1" s="1"/>
  <c r="S100" i="1"/>
  <c r="R100" i="1"/>
  <c r="P100" i="1"/>
  <c r="Q100" i="1" s="1"/>
  <c r="S99" i="1"/>
  <c r="R99" i="1"/>
  <c r="P99" i="1"/>
  <c r="Q99" i="1" s="1"/>
  <c r="S98" i="1"/>
  <c r="R98" i="1"/>
  <c r="P98" i="1"/>
  <c r="S97" i="1"/>
  <c r="R97" i="1"/>
  <c r="P97" i="1"/>
  <c r="S96" i="1"/>
  <c r="R96" i="1"/>
  <c r="P96" i="1"/>
  <c r="S95" i="1"/>
  <c r="R95" i="1"/>
  <c r="P95" i="1"/>
  <c r="S94" i="1"/>
  <c r="R94" i="1"/>
  <c r="P94" i="1"/>
  <c r="Q94" i="1" s="1"/>
  <c r="S93" i="1"/>
  <c r="R93" i="1"/>
  <c r="P93" i="1"/>
  <c r="S92" i="1"/>
  <c r="R92" i="1"/>
  <c r="P92" i="1"/>
  <c r="S91" i="1"/>
  <c r="R91" i="1"/>
  <c r="P91" i="1"/>
  <c r="S90" i="1"/>
  <c r="R90" i="1"/>
  <c r="P90" i="1"/>
  <c r="S89" i="1"/>
  <c r="R89" i="1"/>
  <c r="P89" i="1"/>
  <c r="S88" i="1"/>
  <c r="R88" i="1"/>
  <c r="P88" i="1"/>
  <c r="Q88" i="1" s="1"/>
  <c r="S87" i="1"/>
  <c r="R87" i="1"/>
  <c r="P87" i="1"/>
  <c r="S86" i="1"/>
  <c r="R86" i="1"/>
  <c r="P86" i="1"/>
  <c r="S85" i="1"/>
  <c r="R85" i="1"/>
  <c r="P85" i="1"/>
  <c r="Q85" i="1" s="1"/>
  <c r="S84" i="1"/>
  <c r="R84" i="1"/>
  <c r="P84" i="1"/>
  <c r="Q84" i="1" s="1"/>
  <c r="S83" i="1"/>
  <c r="R83" i="1"/>
  <c r="P83" i="1"/>
  <c r="S82" i="1"/>
  <c r="R82" i="1"/>
  <c r="P82" i="1"/>
  <c r="S81" i="1"/>
  <c r="R81" i="1"/>
  <c r="P81" i="1"/>
  <c r="S80" i="1"/>
  <c r="R80" i="1"/>
  <c r="P80" i="1"/>
  <c r="Q80" i="1" s="1"/>
  <c r="S79" i="1"/>
  <c r="R79" i="1"/>
  <c r="P79" i="1"/>
  <c r="S78" i="1"/>
  <c r="R78" i="1"/>
  <c r="P78" i="1"/>
  <c r="Q78" i="1" s="1"/>
  <c r="S77" i="1"/>
  <c r="R77" i="1"/>
  <c r="P77" i="1"/>
  <c r="S76" i="1"/>
  <c r="R76" i="1"/>
  <c r="P76" i="1"/>
  <c r="S75" i="1"/>
  <c r="R75" i="1"/>
  <c r="P75" i="1"/>
  <c r="S74" i="1"/>
  <c r="R74" i="1"/>
  <c r="P74" i="1"/>
  <c r="S73" i="1"/>
  <c r="R73" i="1"/>
  <c r="P73" i="1"/>
  <c r="S72" i="1"/>
  <c r="R72" i="1"/>
  <c r="P72" i="1"/>
  <c r="Q72" i="1" s="1"/>
  <c r="S71" i="1"/>
  <c r="R71" i="1"/>
  <c r="P71" i="1"/>
  <c r="S70" i="1"/>
  <c r="R70" i="1"/>
  <c r="P70" i="1"/>
  <c r="S69" i="1"/>
  <c r="R69" i="1"/>
  <c r="Q69" i="1"/>
  <c r="P69" i="1"/>
  <c r="S68" i="1"/>
  <c r="R68" i="1"/>
  <c r="P68" i="1"/>
  <c r="S67" i="1"/>
  <c r="R67" i="1"/>
  <c r="P67" i="1"/>
  <c r="Q67" i="1" s="1"/>
  <c r="S66" i="1"/>
  <c r="R66" i="1"/>
  <c r="P66" i="1"/>
  <c r="S65" i="1"/>
  <c r="R65" i="1"/>
  <c r="P65" i="1"/>
  <c r="S64" i="1"/>
  <c r="R64" i="1"/>
  <c r="P64" i="1"/>
  <c r="Q64" i="1" s="1"/>
  <c r="S63" i="1"/>
  <c r="R63" i="1"/>
  <c r="Q63" i="1"/>
  <c r="P63" i="1"/>
  <c r="S62" i="1"/>
  <c r="R62" i="1"/>
  <c r="P62" i="1"/>
  <c r="Q62" i="1" s="1"/>
  <c r="S61" i="1"/>
  <c r="R61" i="1"/>
  <c r="P61" i="1"/>
  <c r="S60" i="1"/>
  <c r="R60" i="1"/>
  <c r="P60" i="1"/>
  <c r="S59" i="1"/>
  <c r="R59" i="1"/>
  <c r="Q59" i="1"/>
  <c r="P59" i="1"/>
  <c r="S58" i="1"/>
  <c r="R58" i="1"/>
  <c r="P58" i="1"/>
  <c r="S57" i="1"/>
  <c r="R57" i="1"/>
  <c r="P57" i="1"/>
  <c r="Q57" i="1" s="1"/>
  <c r="S56" i="1"/>
  <c r="R56" i="1"/>
  <c r="P56" i="1"/>
  <c r="S55" i="1"/>
  <c r="R55" i="1"/>
  <c r="P55" i="1"/>
  <c r="Q55" i="1" s="1"/>
  <c r="S54" i="1"/>
  <c r="R54" i="1"/>
  <c r="P54" i="1"/>
  <c r="S53" i="1"/>
  <c r="R53" i="1"/>
  <c r="P53" i="1"/>
  <c r="Q53" i="1" s="1"/>
  <c r="S52" i="1"/>
  <c r="R52" i="1"/>
  <c r="P52" i="1"/>
  <c r="Q52" i="1" s="1"/>
  <c r="S51" i="1"/>
  <c r="R51" i="1"/>
  <c r="P51" i="1"/>
  <c r="S50" i="1"/>
  <c r="R50" i="1"/>
  <c r="P50" i="1"/>
  <c r="Q50" i="1" s="1"/>
  <c r="S49" i="1"/>
  <c r="R49" i="1"/>
  <c r="P49" i="1"/>
  <c r="Q49" i="1" s="1"/>
  <c r="S48" i="1"/>
  <c r="R48" i="1"/>
  <c r="P48" i="1"/>
  <c r="Q48" i="1" s="1"/>
  <c r="S47" i="1"/>
  <c r="R47" i="1"/>
  <c r="P47" i="1"/>
  <c r="Q47" i="1" s="1"/>
  <c r="S46" i="1"/>
  <c r="R46" i="1"/>
  <c r="P46" i="1"/>
  <c r="S45" i="1"/>
  <c r="R45" i="1"/>
  <c r="P45" i="1"/>
  <c r="Q45" i="1" s="1"/>
  <c r="S44" i="1"/>
  <c r="R44" i="1"/>
  <c r="P44" i="1"/>
  <c r="Q44" i="1" s="1"/>
  <c r="S43" i="1"/>
  <c r="R43" i="1"/>
  <c r="Q43" i="1"/>
  <c r="P43" i="1"/>
  <c r="S42" i="1"/>
  <c r="R42" i="1"/>
  <c r="P42" i="1"/>
  <c r="S41" i="1"/>
  <c r="R41" i="1"/>
  <c r="P41" i="1"/>
  <c r="S40" i="1"/>
  <c r="R40" i="1"/>
  <c r="P40" i="1"/>
  <c r="Q40" i="1" s="1"/>
  <c r="S39" i="1"/>
  <c r="R39" i="1"/>
  <c r="P39" i="1"/>
  <c r="Q39" i="1" s="1"/>
  <c r="S38" i="1"/>
  <c r="R38" i="1"/>
  <c r="P38" i="1"/>
  <c r="Q38" i="1" s="1"/>
  <c r="S37" i="1"/>
  <c r="R37" i="1"/>
  <c r="P37" i="1"/>
  <c r="S36" i="1"/>
  <c r="R36" i="1"/>
  <c r="P36" i="1"/>
  <c r="Q36" i="1" s="1"/>
  <c r="S35" i="1"/>
  <c r="R35" i="1"/>
  <c r="P35" i="1"/>
  <c r="S34" i="1"/>
  <c r="R34" i="1"/>
  <c r="P34" i="1"/>
  <c r="S33" i="1"/>
  <c r="R33" i="1"/>
  <c r="P33" i="1"/>
  <c r="Q33" i="1" s="1"/>
  <c r="S32" i="1"/>
  <c r="R32" i="1"/>
  <c r="P32" i="1"/>
  <c r="S31" i="1"/>
  <c r="R31" i="1"/>
  <c r="P31" i="1"/>
  <c r="Q31" i="1" s="1"/>
  <c r="S30" i="1"/>
  <c r="R30" i="1"/>
  <c r="P30" i="1"/>
  <c r="S29" i="1"/>
  <c r="R29" i="1"/>
  <c r="P29" i="1"/>
  <c r="S28" i="1"/>
  <c r="R28" i="1"/>
  <c r="P28" i="1"/>
  <c r="Q28" i="1" s="1"/>
  <c r="S27" i="1"/>
  <c r="R27" i="1"/>
  <c r="P27" i="1"/>
  <c r="S26" i="1"/>
  <c r="R26" i="1"/>
  <c r="P26" i="1"/>
  <c r="S25" i="1"/>
  <c r="R25" i="1"/>
  <c r="P25" i="1"/>
  <c r="Q25" i="1" s="1"/>
  <c r="S24" i="1"/>
  <c r="R24" i="1"/>
  <c r="P24" i="1"/>
  <c r="Q24" i="1" s="1"/>
  <c r="S23" i="1"/>
  <c r="R23" i="1"/>
  <c r="P23" i="1"/>
  <c r="Q23" i="1" s="1"/>
  <c r="S22" i="1"/>
  <c r="R22" i="1"/>
  <c r="P22" i="1"/>
  <c r="S21" i="1"/>
  <c r="R21" i="1"/>
  <c r="P21" i="1"/>
  <c r="S20" i="1"/>
  <c r="R20" i="1"/>
  <c r="Q20" i="1"/>
  <c r="P20" i="1"/>
  <c r="S19" i="1"/>
  <c r="R19" i="1"/>
  <c r="P19" i="1"/>
  <c r="S18" i="1"/>
  <c r="R18" i="1"/>
  <c r="P18" i="1"/>
  <c r="Q18" i="1" s="1"/>
  <c r="S17" i="1"/>
  <c r="R17" i="1"/>
  <c r="P17" i="1"/>
  <c r="S16" i="1"/>
  <c r="R16" i="1"/>
  <c r="P16" i="1"/>
  <c r="S15" i="1"/>
  <c r="R15" i="1"/>
  <c r="Q15" i="1"/>
  <c r="P15" i="1"/>
  <c r="S14" i="1"/>
  <c r="R14" i="1"/>
  <c r="P14" i="1"/>
  <c r="S13" i="1"/>
  <c r="R13" i="1"/>
  <c r="P13" i="1"/>
  <c r="Q13" i="1" s="1"/>
  <c r="S12" i="1"/>
  <c r="R12" i="1"/>
  <c r="P12" i="1"/>
  <c r="S11" i="1"/>
  <c r="R11" i="1"/>
  <c r="P11" i="1"/>
  <c r="S10" i="1"/>
  <c r="R10" i="1"/>
  <c r="P10" i="1"/>
  <c r="Q10" i="1" s="1"/>
  <c r="S9" i="1"/>
  <c r="R9" i="1"/>
  <c r="P9" i="1"/>
  <c r="Q9" i="1" s="1"/>
  <c r="S8" i="1"/>
  <c r="R8" i="1"/>
  <c r="P8" i="1"/>
  <c r="S7" i="1"/>
  <c r="R7" i="1"/>
  <c r="P7" i="1"/>
  <c r="Q7" i="1" s="1"/>
  <c r="S6" i="1"/>
  <c r="R6" i="1"/>
  <c r="P6" i="1"/>
  <c r="Q6" i="1" s="1"/>
  <c r="S5" i="1"/>
  <c r="R5" i="1"/>
  <c r="P5" i="1"/>
  <c r="S4" i="1"/>
  <c r="R4" i="1"/>
  <c r="P4" i="1"/>
  <c r="U3" i="1"/>
  <c r="S3" i="1"/>
  <c r="R3" i="1"/>
  <c r="P3" i="1"/>
  <c r="U2" i="1"/>
  <c r="V2" i="1" s="1"/>
  <c r="S2" i="1"/>
  <c r="R2" i="1"/>
  <c r="P2" i="1"/>
  <c r="Q75" i="1" l="1"/>
  <c r="Q91" i="1"/>
  <c r="Q96" i="1"/>
  <c r="Q122" i="1"/>
  <c r="Q132" i="1"/>
  <c r="Q153" i="1"/>
  <c r="Q189" i="1"/>
  <c r="Q194" i="1"/>
  <c r="Q210" i="1"/>
  <c r="Q226" i="1"/>
  <c r="Q242" i="1"/>
  <c r="Q258" i="1"/>
  <c r="Q11" i="1"/>
  <c r="Q16" i="1"/>
  <c r="Q21" i="1"/>
  <c r="Q26" i="1"/>
  <c r="Q60" i="1"/>
  <c r="Q65" i="1"/>
  <c r="Q70" i="1"/>
  <c r="Q86" i="1"/>
  <c r="Q112" i="1"/>
  <c r="Q117" i="1"/>
  <c r="Q169" i="1"/>
  <c r="Q179" i="1"/>
  <c r="Q184" i="1"/>
  <c r="Q205" i="1"/>
  <c r="Q221" i="1"/>
  <c r="Q237" i="1"/>
  <c r="Q253" i="1"/>
  <c r="Q2" i="1"/>
  <c r="Q41" i="1"/>
  <c r="Q46" i="1"/>
  <c r="Q51" i="1"/>
  <c r="Q81" i="1"/>
  <c r="Q102" i="1"/>
  <c r="Q138" i="1"/>
  <c r="Q164" i="1"/>
  <c r="Q200" i="1"/>
  <c r="Q216" i="1"/>
  <c r="Q232" i="1"/>
  <c r="Q248" i="1"/>
  <c r="Q264" i="1"/>
  <c r="Q76" i="1"/>
  <c r="Q92" i="1"/>
  <c r="Q97" i="1"/>
  <c r="Q133" i="1"/>
  <c r="Q154" i="1"/>
  <c r="Q195" i="1"/>
  <c r="Q211" i="1"/>
  <c r="Q227" i="1"/>
  <c r="Q243" i="1"/>
  <c r="Q259" i="1"/>
  <c r="Q12" i="1"/>
  <c r="Q17" i="1"/>
  <c r="Q22" i="1"/>
  <c r="Q27" i="1"/>
  <c r="Q32" i="1"/>
  <c r="Q37" i="1"/>
  <c r="Q56" i="1"/>
  <c r="Q61" i="1"/>
  <c r="Q66" i="1"/>
  <c r="Q113" i="1"/>
  <c r="Q118" i="1"/>
  <c r="Q128" i="1"/>
  <c r="Q144" i="1"/>
  <c r="Q149" i="1"/>
  <c r="Q170" i="1"/>
  <c r="Q180" i="1"/>
  <c r="Q185" i="1"/>
  <c r="Q206" i="1"/>
  <c r="Q222" i="1"/>
  <c r="Q238" i="1"/>
  <c r="Q254" i="1"/>
  <c r="Q42" i="1"/>
  <c r="Q82" i="1"/>
  <c r="Q108" i="1"/>
  <c r="Q139" i="1"/>
  <c r="Q165" i="1"/>
  <c r="Q201" i="1"/>
  <c r="Q217" i="1"/>
  <c r="Q233" i="1"/>
  <c r="Q249" i="1"/>
  <c r="Q265" i="1"/>
  <c r="Q3" i="1"/>
  <c r="Q77" i="1"/>
  <c r="Q93" i="1"/>
  <c r="Q98" i="1"/>
  <c r="Q134" i="1"/>
  <c r="Q155" i="1"/>
  <c r="Q160" i="1"/>
  <c r="Q196" i="1"/>
  <c r="Q212" i="1"/>
  <c r="Q228" i="1"/>
  <c r="Q244" i="1"/>
  <c r="Q260" i="1"/>
  <c r="Q8" i="1"/>
  <c r="Q83" i="1"/>
  <c r="Q104" i="1"/>
  <c r="Q109" i="1"/>
  <c r="Q140" i="1"/>
  <c r="Q166" i="1"/>
  <c r="Q176" i="1"/>
  <c r="Q202" i="1"/>
  <c r="Q218" i="1"/>
  <c r="Q234" i="1"/>
  <c r="Q250" i="1"/>
  <c r="Q266" i="1"/>
  <c r="Q4" i="1"/>
  <c r="Q14" i="1"/>
  <c r="Q19" i="1"/>
  <c r="Q29" i="1"/>
  <c r="Q34" i="1"/>
  <c r="Q58" i="1"/>
  <c r="Q68" i="1"/>
  <c r="Q73" i="1"/>
  <c r="Q89" i="1"/>
  <c r="Q115" i="1"/>
  <c r="Q120" i="1"/>
  <c r="Q125" i="1"/>
  <c r="Q130" i="1"/>
  <c r="Q146" i="1"/>
  <c r="Q187" i="1"/>
  <c r="Q192" i="1"/>
  <c r="Q208" i="1"/>
  <c r="Q224" i="1"/>
  <c r="Q240" i="1"/>
  <c r="Q256" i="1"/>
  <c r="Q262" i="1"/>
  <c r="Q5" i="1"/>
  <c r="Q30" i="1"/>
  <c r="Q35" i="1"/>
  <c r="Q54" i="1"/>
  <c r="Q74" i="1"/>
  <c r="Q90" i="1"/>
  <c r="Q121" i="1"/>
  <c r="Q131" i="1"/>
  <c r="Q147" i="1"/>
  <c r="Q152" i="1"/>
  <c r="Q188" i="1"/>
  <c r="Q193" i="1"/>
  <c r="Q209" i="1"/>
  <c r="Q225" i="1"/>
  <c r="Q241" i="1"/>
  <c r="Q257" i="1"/>
  <c r="V3" i="1"/>
  <c r="U4" i="1"/>
  <c r="Q103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71" i="1"/>
  <c r="Q79" i="1"/>
  <c r="Q87" i="1"/>
  <c r="Q95" i="1"/>
  <c r="Q111" i="1"/>
  <c r="Q119" i="1"/>
  <c r="V4" i="1" l="1"/>
  <c r="U5" i="1"/>
  <c r="U6" i="1" l="1"/>
  <c r="V5" i="1"/>
  <c r="U7" i="1" l="1"/>
  <c r="V6" i="1"/>
  <c r="V7" i="1" l="1"/>
  <c r="U8" i="1"/>
  <c r="U9" i="1" l="1"/>
  <c r="V8" i="1"/>
  <c r="U10" i="1" l="1"/>
  <c r="V9" i="1"/>
  <c r="V10" i="1" l="1"/>
  <c r="U11" i="1"/>
  <c r="V11" i="1" l="1"/>
  <c r="U12" i="1"/>
  <c r="V12" i="1" l="1"/>
  <c r="U13" i="1"/>
  <c r="U14" i="1" l="1"/>
  <c r="V13" i="1"/>
  <c r="V14" i="1" l="1"/>
  <c r="U15" i="1"/>
  <c r="V15" i="1" l="1"/>
  <c r="U16" i="1"/>
  <c r="U17" i="1" l="1"/>
  <c r="V16" i="1"/>
  <c r="U18" i="1" l="1"/>
  <c r="V17" i="1"/>
  <c r="V18" i="1" l="1"/>
  <c r="U19" i="1"/>
  <c r="V19" i="1" l="1"/>
  <c r="U20" i="1"/>
  <c r="V20" i="1" l="1"/>
  <c r="U21" i="1"/>
  <c r="U22" i="1" l="1"/>
  <c r="V21" i="1"/>
  <c r="V22" i="1" l="1"/>
  <c r="U23" i="1"/>
  <c r="U24" i="1" l="1"/>
  <c r="V23" i="1"/>
  <c r="U25" i="1" l="1"/>
  <c r="V24" i="1"/>
  <c r="U26" i="1" l="1"/>
  <c r="V25" i="1"/>
  <c r="V26" i="1" l="1"/>
  <c r="U27" i="1"/>
  <c r="V27" i="1" l="1"/>
  <c r="U28" i="1"/>
  <c r="V28" i="1" l="1"/>
  <c r="U29" i="1"/>
  <c r="V29" i="1" l="1"/>
  <c r="U30" i="1"/>
  <c r="V30" i="1" l="1"/>
  <c r="U31" i="1"/>
  <c r="U32" i="1" l="1"/>
  <c r="V31" i="1"/>
  <c r="U33" i="1" l="1"/>
  <c r="V32" i="1"/>
  <c r="U34" i="1" l="1"/>
  <c r="V33" i="1"/>
  <c r="V34" i="1" l="1"/>
  <c r="U35" i="1"/>
  <c r="V35" i="1" l="1"/>
  <c r="U36" i="1"/>
  <c r="V36" i="1" l="1"/>
  <c r="U37" i="1"/>
  <c r="V37" i="1" l="1"/>
  <c r="U38" i="1"/>
  <c r="U39" i="1" l="1"/>
  <c r="V38" i="1"/>
  <c r="U40" i="1" l="1"/>
  <c r="V39" i="1"/>
  <c r="U41" i="1" l="1"/>
  <c r="V40" i="1"/>
  <c r="U42" i="1" l="1"/>
  <c r="V41" i="1"/>
  <c r="V42" i="1" l="1"/>
  <c r="U43" i="1"/>
  <c r="V43" i="1" l="1"/>
  <c r="U44" i="1"/>
  <c r="V44" i="1" l="1"/>
  <c r="U45" i="1"/>
  <c r="V45" i="1" l="1"/>
  <c r="U46" i="1"/>
  <c r="U47" i="1" l="1"/>
  <c r="V46" i="1"/>
  <c r="U48" i="1" l="1"/>
  <c r="V47" i="1"/>
  <c r="U49" i="1" l="1"/>
  <c r="V48" i="1"/>
  <c r="U50" i="1" l="1"/>
  <c r="V49" i="1"/>
  <c r="V50" i="1" l="1"/>
  <c r="U51" i="1"/>
  <c r="V51" i="1" l="1"/>
  <c r="U52" i="1"/>
  <c r="V52" i="1" l="1"/>
  <c r="U53" i="1"/>
  <c r="V53" i="1" l="1"/>
  <c r="U54" i="1"/>
  <c r="U55" i="1" l="1"/>
  <c r="V54" i="1"/>
  <c r="U56" i="1" l="1"/>
  <c r="V55" i="1"/>
  <c r="U57" i="1" l="1"/>
  <c r="V56" i="1"/>
  <c r="U58" i="1" l="1"/>
  <c r="V57" i="1"/>
  <c r="V58" i="1" l="1"/>
  <c r="U59" i="1"/>
  <c r="V59" i="1" l="1"/>
  <c r="U60" i="1"/>
  <c r="V60" i="1" l="1"/>
  <c r="U61" i="1"/>
  <c r="V61" i="1" l="1"/>
  <c r="U62" i="1"/>
  <c r="U63" i="1" l="1"/>
  <c r="V62" i="1"/>
  <c r="V63" i="1" l="1"/>
  <c r="U64" i="1"/>
  <c r="U65" i="1" l="1"/>
  <c r="V64" i="1"/>
  <c r="U66" i="1" l="1"/>
  <c r="V65" i="1"/>
  <c r="V66" i="1" l="1"/>
  <c r="U67" i="1"/>
  <c r="V67" i="1" l="1"/>
  <c r="U68" i="1"/>
  <c r="V68" i="1" l="1"/>
  <c r="U69" i="1"/>
  <c r="U70" i="1" l="1"/>
  <c r="V69" i="1"/>
  <c r="V70" i="1" l="1"/>
  <c r="U71" i="1"/>
  <c r="U72" i="1" l="1"/>
  <c r="V71" i="1"/>
  <c r="U73" i="1" l="1"/>
  <c r="V72" i="1"/>
  <c r="U74" i="1" l="1"/>
  <c r="V73" i="1"/>
  <c r="V74" i="1" l="1"/>
  <c r="U75" i="1"/>
  <c r="V75" i="1" l="1"/>
  <c r="U76" i="1"/>
  <c r="V76" i="1" l="1"/>
  <c r="U77" i="1"/>
  <c r="V77" i="1" l="1"/>
  <c r="U78" i="1"/>
  <c r="V78" i="1" l="1"/>
  <c r="U79" i="1"/>
  <c r="U80" i="1" l="1"/>
  <c r="V79" i="1"/>
  <c r="U81" i="1" l="1"/>
  <c r="V80" i="1"/>
  <c r="U82" i="1" l="1"/>
  <c r="V81" i="1"/>
  <c r="V82" i="1" l="1"/>
  <c r="U83" i="1"/>
  <c r="V83" i="1" l="1"/>
  <c r="U84" i="1"/>
  <c r="V84" i="1" l="1"/>
  <c r="U85" i="1"/>
  <c r="V85" i="1" l="1"/>
  <c r="U86" i="1"/>
  <c r="U87" i="1" l="1"/>
  <c r="V86" i="1"/>
  <c r="V87" i="1" l="1"/>
  <c r="U88" i="1"/>
  <c r="U89" i="1" l="1"/>
  <c r="V88" i="1"/>
  <c r="U90" i="1" l="1"/>
  <c r="V89" i="1"/>
  <c r="V90" i="1" l="1"/>
  <c r="U91" i="1"/>
  <c r="V91" i="1" l="1"/>
  <c r="U92" i="1"/>
  <c r="V92" i="1" l="1"/>
  <c r="U93" i="1"/>
  <c r="V93" i="1" l="1"/>
  <c r="U94" i="1"/>
  <c r="U95" i="1" l="1"/>
  <c r="V94" i="1"/>
  <c r="V95" i="1" l="1"/>
  <c r="U96" i="1"/>
  <c r="U97" i="1" l="1"/>
  <c r="V96" i="1"/>
  <c r="U98" i="1" l="1"/>
  <c r="V97" i="1"/>
  <c r="V98" i="1" l="1"/>
  <c r="U99" i="1"/>
  <c r="V99" i="1" l="1"/>
  <c r="U100" i="1"/>
  <c r="V100" i="1" l="1"/>
  <c r="U101" i="1"/>
  <c r="U102" i="1" l="1"/>
  <c r="V101" i="1"/>
  <c r="V102" i="1" l="1"/>
  <c r="U103" i="1"/>
  <c r="V103" i="1" l="1"/>
  <c r="U104" i="1"/>
  <c r="U105" i="1" l="1"/>
  <c r="V104" i="1"/>
  <c r="U106" i="1" l="1"/>
  <c r="V105" i="1"/>
  <c r="V106" i="1" l="1"/>
  <c r="U107" i="1"/>
  <c r="V107" i="1" l="1"/>
  <c r="U108" i="1"/>
  <c r="V108" i="1" l="1"/>
  <c r="U109" i="1"/>
  <c r="V109" i="1" l="1"/>
  <c r="U110" i="1"/>
  <c r="U111" i="1" l="1"/>
  <c r="V110" i="1"/>
  <c r="V111" i="1" l="1"/>
  <c r="U112" i="1"/>
  <c r="U113" i="1" l="1"/>
  <c r="V112" i="1"/>
  <c r="U114" i="1" l="1"/>
  <c r="V113" i="1"/>
  <c r="V114" i="1" l="1"/>
  <c r="U115" i="1"/>
  <c r="V115" i="1" l="1"/>
  <c r="U116" i="1"/>
  <c r="V116" i="1" l="1"/>
  <c r="U117" i="1"/>
  <c r="V117" i="1" l="1"/>
  <c r="U118" i="1"/>
  <c r="V118" i="1" l="1"/>
  <c r="U119" i="1"/>
  <c r="V119" i="1" l="1"/>
  <c r="U120" i="1"/>
  <c r="U121" i="1" l="1"/>
  <c r="V120" i="1"/>
  <c r="U122" i="1" l="1"/>
  <c r="V121" i="1"/>
  <c r="V122" i="1" l="1"/>
  <c r="U123" i="1"/>
  <c r="V123" i="1" l="1"/>
  <c r="U124" i="1"/>
  <c r="V124" i="1" l="1"/>
  <c r="U125" i="1"/>
  <c r="U126" i="1" l="1"/>
  <c r="V125" i="1"/>
  <c r="U127" i="1" l="1"/>
  <c r="V126" i="1"/>
  <c r="V127" i="1" l="1"/>
  <c r="U128" i="1"/>
  <c r="U129" i="1" l="1"/>
  <c r="V128" i="1"/>
  <c r="U130" i="1" l="1"/>
  <c r="V129" i="1"/>
  <c r="V130" i="1" l="1"/>
  <c r="U131" i="1"/>
  <c r="V131" i="1" l="1"/>
  <c r="U132" i="1"/>
  <c r="V132" i="1" l="1"/>
  <c r="U133" i="1"/>
  <c r="V133" i="1" l="1"/>
  <c r="U134" i="1"/>
  <c r="U135" i="1" l="1"/>
  <c r="V134" i="1"/>
  <c r="V135" i="1" l="1"/>
  <c r="U136" i="1"/>
  <c r="U137" i="1" l="1"/>
  <c r="V136" i="1"/>
  <c r="U138" i="1" l="1"/>
  <c r="V137" i="1"/>
  <c r="V138" i="1" l="1"/>
  <c r="U139" i="1"/>
  <c r="V139" i="1" l="1"/>
  <c r="U140" i="1"/>
  <c r="V140" i="1" l="1"/>
  <c r="U141" i="1"/>
  <c r="U142" i="1" l="1"/>
  <c r="V141" i="1"/>
  <c r="V142" i="1" l="1"/>
  <c r="U143" i="1"/>
  <c r="V143" i="1" l="1"/>
  <c r="U144" i="1"/>
  <c r="U145" i="1" l="1"/>
  <c r="V144" i="1"/>
  <c r="U146" i="1" l="1"/>
  <c r="V145" i="1"/>
  <c r="V146" i="1" l="1"/>
  <c r="U147" i="1"/>
  <c r="V147" i="1" l="1"/>
  <c r="U148" i="1"/>
  <c r="V148" i="1" l="1"/>
  <c r="U149" i="1"/>
  <c r="U150" i="1" l="1"/>
  <c r="V149" i="1"/>
  <c r="U151" i="1" l="1"/>
  <c r="V150" i="1"/>
  <c r="V151" i="1" l="1"/>
  <c r="U152" i="1"/>
  <c r="U153" i="1" l="1"/>
  <c r="V152" i="1"/>
  <c r="U154" i="1" l="1"/>
  <c r="V153" i="1"/>
  <c r="V154" i="1" l="1"/>
  <c r="U155" i="1"/>
  <c r="V155" i="1" l="1"/>
  <c r="U156" i="1"/>
  <c r="V156" i="1" l="1"/>
  <c r="U157" i="1"/>
  <c r="V157" i="1" l="1"/>
  <c r="U158" i="1"/>
  <c r="U159" i="1" l="1"/>
  <c r="V158" i="1"/>
  <c r="V159" i="1" l="1"/>
  <c r="U160" i="1"/>
  <c r="U161" i="1" l="1"/>
  <c r="V160" i="1"/>
  <c r="U162" i="1" l="1"/>
  <c r="V161" i="1"/>
  <c r="V162" i="1" l="1"/>
  <c r="U163" i="1"/>
  <c r="V163" i="1" l="1"/>
  <c r="U164" i="1"/>
  <c r="V164" i="1" l="1"/>
  <c r="U165" i="1"/>
  <c r="U166" i="1" l="1"/>
  <c r="V165" i="1"/>
  <c r="V166" i="1" l="1"/>
  <c r="U167" i="1"/>
  <c r="V167" i="1" l="1"/>
  <c r="U168" i="1"/>
  <c r="U169" i="1" l="1"/>
  <c r="V168" i="1"/>
  <c r="U170" i="1" l="1"/>
  <c r="V169" i="1"/>
  <c r="V170" i="1" l="1"/>
  <c r="U171" i="1"/>
  <c r="V171" i="1" l="1"/>
  <c r="U172" i="1"/>
  <c r="V172" i="1" l="1"/>
  <c r="U173" i="1"/>
  <c r="U174" i="1" l="1"/>
  <c r="V173" i="1"/>
  <c r="U175" i="1" l="1"/>
  <c r="V174" i="1"/>
  <c r="V175" i="1" l="1"/>
  <c r="U176" i="1"/>
  <c r="U177" i="1" l="1"/>
  <c r="V176" i="1"/>
  <c r="U178" i="1" l="1"/>
  <c r="V177" i="1"/>
  <c r="V178" i="1" l="1"/>
  <c r="U179" i="1"/>
  <c r="V179" i="1" l="1"/>
  <c r="U180" i="1"/>
  <c r="V180" i="1" l="1"/>
  <c r="U181" i="1"/>
  <c r="V181" i="1" l="1"/>
  <c r="U182" i="1"/>
  <c r="V182" i="1" l="1"/>
  <c r="U183" i="1"/>
  <c r="V183" i="1" l="1"/>
  <c r="U184" i="1"/>
  <c r="U185" i="1" l="1"/>
  <c r="V184" i="1"/>
  <c r="U186" i="1" l="1"/>
  <c r="V185" i="1"/>
  <c r="V186" i="1" l="1"/>
  <c r="U187" i="1"/>
  <c r="V187" i="1" l="1"/>
  <c r="U188" i="1"/>
  <c r="V188" i="1" l="1"/>
  <c r="U189" i="1"/>
  <c r="V189" i="1" l="1"/>
  <c r="U190" i="1"/>
  <c r="V190" i="1" l="1"/>
  <c r="U191" i="1"/>
  <c r="V191" i="1" l="1"/>
  <c r="U192" i="1"/>
  <c r="U193" i="1" l="1"/>
  <c r="V192" i="1"/>
  <c r="U194" i="1" l="1"/>
  <c r="V193" i="1"/>
  <c r="V194" i="1" l="1"/>
  <c r="U195" i="1"/>
  <c r="V195" i="1" l="1"/>
  <c r="U196" i="1"/>
  <c r="V196" i="1" l="1"/>
  <c r="U197" i="1"/>
  <c r="U198" i="1" l="1"/>
  <c r="V197" i="1"/>
  <c r="V198" i="1" l="1"/>
  <c r="U199" i="1"/>
  <c r="V199" i="1" l="1"/>
  <c r="U200" i="1"/>
  <c r="U201" i="1" l="1"/>
  <c r="V200" i="1"/>
  <c r="U202" i="1" l="1"/>
  <c r="V201" i="1"/>
  <c r="U203" i="1" l="1"/>
  <c r="V202" i="1"/>
  <c r="V203" i="1" l="1"/>
  <c r="U204" i="1"/>
  <c r="V204" i="1" l="1"/>
  <c r="U205" i="1"/>
  <c r="U206" i="1" l="1"/>
  <c r="V205" i="1"/>
  <c r="V206" i="1" l="1"/>
  <c r="U207" i="1"/>
  <c r="V207" i="1" l="1"/>
  <c r="U208" i="1"/>
  <c r="U209" i="1" l="1"/>
  <c r="V208" i="1"/>
  <c r="U210" i="1" l="1"/>
  <c r="V209" i="1"/>
  <c r="U211" i="1" l="1"/>
  <c r="V210" i="1"/>
  <c r="V211" i="1" l="1"/>
  <c r="U212" i="1"/>
  <c r="V212" i="1" l="1"/>
  <c r="U213" i="1"/>
  <c r="U214" i="1" l="1"/>
  <c r="V213" i="1"/>
  <c r="V214" i="1" l="1"/>
  <c r="U215" i="1"/>
  <c r="V215" i="1" l="1"/>
  <c r="U216" i="1"/>
  <c r="U217" i="1" l="1"/>
  <c r="V216" i="1"/>
  <c r="U218" i="1" l="1"/>
  <c r="V217" i="1"/>
  <c r="U219" i="1" l="1"/>
  <c r="V218" i="1"/>
  <c r="V219" i="1" l="1"/>
  <c r="U220" i="1"/>
  <c r="V220" i="1" l="1"/>
  <c r="U221" i="1"/>
  <c r="U222" i="1" l="1"/>
  <c r="V221" i="1"/>
  <c r="V222" i="1" l="1"/>
  <c r="U223" i="1"/>
  <c r="V223" i="1" l="1"/>
  <c r="U224" i="1"/>
  <c r="U225" i="1" l="1"/>
  <c r="V224" i="1"/>
  <c r="U226" i="1" l="1"/>
  <c r="V225" i="1"/>
  <c r="U227" i="1" l="1"/>
  <c r="V226" i="1"/>
  <c r="V227" i="1" l="1"/>
  <c r="U228" i="1"/>
  <c r="V228" i="1" l="1"/>
  <c r="U229" i="1"/>
  <c r="U230" i="1" l="1"/>
  <c r="V229" i="1"/>
  <c r="V230" i="1" l="1"/>
  <c r="U231" i="1"/>
  <c r="V231" i="1" l="1"/>
  <c r="U232" i="1"/>
  <c r="U233" i="1" l="1"/>
  <c r="V232" i="1"/>
  <c r="U234" i="1" l="1"/>
  <c r="V233" i="1"/>
  <c r="U235" i="1" l="1"/>
  <c r="V234" i="1"/>
  <c r="V235" i="1" l="1"/>
  <c r="U236" i="1"/>
  <c r="V236" i="1" l="1"/>
  <c r="U237" i="1"/>
  <c r="U238" i="1" l="1"/>
  <c r="V237" i="1"/>
  <c r="V238" i="1" l="1"/>
  <c r="U239" i="1"/>
  <c r="V239" i="1" l="1"/>
  <c r="U240" i="1"/>
  <c r="U241" i="1" l="1"/>
  <c r="V240" i="1"/>
  <c r="U242" i="1" l="1"/>
  <c r="V241" i="1"/>
  <c r="U243" i="1" l="1"/>
  <c r="V242" i="1"/>
  <c r="V243" i="1" l="1"/>
  <c r="U244" i="1"/>
  <c r="V244" i="1" l="1"/>
  <c r="U245" i="1"/>
  <c r="U246" i="1" l="1"/>
  <c r="V245" i="1"/>
  <c r="V246" i="1" l="1"/>
  <c r="U247" i="1"/>
  <c r="V247" i="1" l="1"/>
  <c r="U248" i="1"/>
  <c r="U249" i="1" l="1"/>
  <c r="V248" i="1"/>
  <c r="U250" i="1" l="1"/>
  <c r="V249" i="1"/>
  <c r="U251" i="1" l="1"/>
  <c r="V250" i="1"/>
  <c r="V251" i="1" l="1"/>
  <c r="U252" i="1"/>
  <c r="V252" i="1" l="1"/>
  <c r="U253" i="1"/>
  <c r="U254" i="1" l="1"/>
  <c r="V253" i="1"/>
  <c r="V254" i="1" l="1"/>
  <c r="U255" i="1"/>
  <c r="V255" i="1" l="1"/>
  <c r="U256" i="1"/>
  <c r="U257" i="1" l="1"/>
  <c r="V256" i="1"/>
  <c r="U258" i="1" l="1"/>
  <c r="V257" i="1"/>
  <c r="U259" i="1" l="1"/>
  <c r="V258" i="1"/>
  <c r="V259" i="1" l="1"/>
  <c r="U260" i="1"/>
  <c r="V260" i="1" l="1"/>
  <c r="U261" i="1"/>
  <c r="U262" i="1" l="1"/>
  <c r="V261" i="1"/>
  <c r="V262" i="1" l="1"/>
  <c r="U263" i="1"/>
  <c r="V263" i="1" l="1"/>
  <c r="U264" i="1"/>
  <c r="U265" i="1" l="1"/>
  <c r="V264" i="1"/>
  <c r="U266" i="1" l="1"/>
  <c r="V265" i="1"/>
  <c r="U267" i="1" l="1"/>
  <c r="V267" i="1" s="1"/>
  <c r="V266" i="1"/>
</calcChain>
</file>

<file path=xl/sharedStrings.xml><?xml version="1.0" encoding="utf-8"?>
<sst xmlns="http://schemas.openxmlformats.org/spreadsheetml/2006/main" count="2416" uniqueCount="44">
  <si>
    <t>Monthly income</t>
  </si>
  <si>
    <t>Gender</t>
  </si>
  <si>
    <t>Earning individual</t>
  </si>
  <si>
    <t>Responsibility</t>
  </si>
  <si>
    <t>Mode of income</t>
  </si>
  <si>
    <t>Network degree</t>
  </si>
  <si>
    <t>Marriage status</t>
  </si>
  <si>
    <t>Risk apetite</t>
  </si>
  <si>
    <t>Location</t>
  </si>
  <si>
    <t>Age</t>
  </si>
  <si>
    <t>SIP</t>
  </si>
  <si>
    <t>AUM</t>
  </si>
  <si>
    <t>Redemption amount</t>
  </si>
  <si>
    <t>Redemption count</t>
  </si>
  <si>
    <t>Months</t>
  </si>
  <si>
    <t>Cumulative AUM</t>
  </si>
  <si>
    <t>% Cumulative AUM</t>
  </si>
  <si>
    <t>AUM/Months</t>
  </si>
  <si>
    <t>Monthly AUM</t>
  </si>
  <si>
    <t>Number</t>
  </si>
  <si>
    <t>Cumulative months</t>
  </si>
  <si>
    <t>Months moving average</t>
  </si>
  <si>
    <t>50000-199999</t>
  </si>
  <si>
    <t>M</t>
  </si>
  <si>
    <t>Self</t>
  </si>
  <si>
    <t>No</t>
  </si>
  <si>
    <t>Business</t>
  </si>
  <si>
    <t>1st</t>
  </si>
  <si>
    <t>Single</t>
  </si>
  <si>
    <t>Aggresive</t>
  </si>
  <si>
    <t>Nagpur</t>
  </si>
  <si>
    <t>Yes</t>
  </si>
  <si>
    <t>2nd</t>
  </si>
  <si>
    <t>Married</t>
  </si>
  <si>
    <t>F</t>
  </si>
  <si>
    <t>Salaried</t>
  </si>
  <si>
    <t>Moderate</t>
  </si>
  <si>
    <t>3rd</t>
  </si>
  <si>
    <t>0-49999</t>
  </si>
  <si>
    <t>Alias</t>
  </si>
  <si>
    <t>other</t>
  </si>
  <si>
    <t>200000-499999</t>
  </si>
  <si>
    <t>Conservative</t>
  </si>
  <si>
    <t>500000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</si>
</sst>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AC04-9CEE-4AE2-84B1-D3AE1E18D99C}">
  <dimension ref="A1:V267"/>
  <sheetViews>
    <sheetView tabSelected="1" workbookViewId="0">
      <selection activeCell="N16" sqref="N16"/>
    </sheetView>
  </sheetViews>
  <sheetFormatPr defaultRowHeight="14.25" x14ac:dyDescent="0.45"/>
  <cols>
    <col min="1" max="1" width="15.3984375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4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s="3">
        <v>24</v>
      </c>
      <c r="K2">
        <v>50000</v>
      </c>
      <c r="L2">
        <v>5085883.42</v>
      </c>
      <c r="M2">
        <v>1000600.48</v>
      </c>
      <c r="N2">
        <v>1</v>
      </c>
      <c r="O2" s="3">
        <v>62</v>
      </c>
      <c r="P2">
        <f>SUM($L$2:L2)</f>
        <v>5085883.42</v>
      </c>
      <c r="Q2" s="4">
        <f t="shared" ref="Q2:Q65" si="0">P2/$P$267</f>
        <v>5.4674803451788483E-2</v>
      </c>
      <c r="R2">
        <f>L2/O2</f>
        <v>82030.377741935488</v>
      </c>
      <c r="S2">
        <f>(L2+M2)/O2</f>
        <v>98169.09516129033</v>
      </c>
      <c r="T2">
        <v>1</v>
      </c>
      <c r="U2" s="3">
        <f>O2</f>
        <v>62</v>
      </c>
      <c r="V2">
        <f>U2/T2</f>
        <v>62</v>
      </c>
    </row>
    <row r="3" spans="1:22" x14ac:dyDescent="0.45">
      <c r="A3" t="s">
        <v>22</v>
      </c>
      <c r="B3" t="s">
        <v>23</v>
      </c>
      <c r="C3" t="s">
        <v>24</v>
      </c>
      <c r="D3" t="s">
        <v>31</v>
      </c>
      <c r="E3" t="s">
        <v>26</v>
      </c>
      <c r="F3" t="s">
        <v>32</v>
      </c>
      <c r="G3" t="s">
        <v>33</v>
      </c>
      <c r="H3" t="s">
        <v>29</v>
      </c>
      <c r="I3" t="s">
        <v>30</v>
      </c>
      <c r="J3" s="3">
        <v>51</v>
      </c>
      <c r="K3">
        <v>2000</v>
      </c>
      <c r="L3">
        <v>3149295.61</v>
      </c>
      <c r="M3">
        <v>0</v>
      </c>
      <c r="N3">
        <v>0</v>
      </c>
      <c r="O3" s="3">
        <v>90</v>
      </c>
      <c r="P3">
        <f>SUM($L$2:L3)</f>
        <v>8235179.0299999993</v>
      </c>
      <c r="Q3" s="4">
        <f t="shared" si="0"/>
        <v>8.8530695195435702E-2</v>
      </c>
      <c r="R3">
        <f t="shared" ref="R3:R66" si="1">L3/O3</f>
        <v>34992.173444444445</v>
      </c>
      <c r="S3">
        <f t="shared" ref="S3:S66" si="2">(L3+M3)/O3</f>
        <v>34992.173444444445</v>
      </c>
      <c r="T3">
        <v>2</v>
      </c>
      <c r="U3" s="3">
        <f>O3+U2</f>
        <v>152</v>
      </c>
      <c r="V3">
        <f>U3/T3</f>
        <v>76</v>
      </c>
    </row>
    <row r="4" spans="1:22" x14ac:dyDescent="0.45">
      <c r="A4" t="s">
        <v>22</v>
      </c>
      <c r="B4" t="s">
        <v>23</v>
      </c>
      <c r="C4" t="s">
        <v>24</v>
      </c>
      <c r="D4" t="s">
        <v>31</v>
      </c>
      <c r="E4" t="s">
        <v>26</v>
      </c>
      <c r="F4" t="s">
        <v>27</v>
      </c>
      <c r="G4" t="s">
        <v>33</v>
      </c>
      <c r="H4" t="s">
        <v>29</v>
      </c>
      <c r="I4" t="s">
        <v>30</v>
      </c>
      <c r="J4" s="3">
        <v>49</v>
      </c>
      <c r="K4">
        <v>50000</v>
      </c>
      <c r="L4">
        <v>2641066.7999999998</v>
      </c>
      <c r="M4">
        <v>703350.4</v>
      </c>
      <c r="N4">
        <v>15</v>
      </c>
      <c r="O4" s="3">
        <v>45</v>
      </c>
      <c r="P4">
        <f>SUM($L$2:L4)</f>
        <v>10876245.829999998</v>
      </c>
      <c r="Q4" s="4">
        <f t="shared" si="0"/>
        <v>0.11692297167294959</v>
      </c>
      <c r="R4">
        <f t="shared" si="1"/>
        <v>58690.373333333329</v>
      </c>
      <c r="S4">
        <f t="shared" si="2"/>
        <v>74320.382222222222</v>
      </c>
      <c r="T4">
        <v>3</v>
      </c>
      <c r="U4" s="3">
        <f>O4+U3</f>
        <v>197</v>
      </c>
      <c r="V4">
        <f t="shared" ref="V4:V67" si="3">U4/T4</f>
        <v>65.666666666666671</v>
      </c>
    </row>
    <row r="5" spans="1:22" x14ac:dyDescent="0.45">
      <c r="A5" t="s">
        <v>22</v>
      </c>
      <c r="B5" t="s">
        <v>34</v>
      </c>
      <c r="C5" t="s">
        <v>24</v>
      </c>
      <c r="D5" t="s">
        <v>31</v>
      </c>
      <c r="E5" t="s">
        <v>35</v>
      </c>
      <c r="F5" t="s">
        <v>27</v>
      </c>
      <c r="G5" t="s">
        <v>33</v>
      </c>
      <c r="H5" t="s">
        <v>29</v>
      </c>
      <c r="I5" t="s">
        <v>30</v>
      </c>
      <c r="J5" s="3">
        <v>40</v>
      </c>
      <c r="K5">
        <v>15000</v>
      </c>
      <c r="L5">
        <v>2440100.08</v>
      </c>
      <c r="M5">
        <v>0</v>
      </c>
      <c r="N5">
        <v>0</v>
      </c>
      <c r="O5" s="3">
        <v>86</v>
      </c>
      <c r="P5">
        <f>SUM($L$2:L5)</f>
        <v>13316345.909999998</v>
      </c>
      <c r="Q5" s="4">
        <f t="shared" si="0"/>
        <v>0.143154794398586</v>
      </c>
      <c r="R5">
        <f t="shared" si="1"/>
        <v>28373.256744186048</v>
      </c>
      <c r="S5">
        <f t="shared" si="2"/>
        <v>28373.256744186048</v>
      </c>
      <c r="T5">
        <v>4</v>
      </c>
      <c r="U5" s="3">
        <f t="shared" ref="U5:U68" si="4">O5+U4</f>
        <v>283</v>
      </c>
      <c r="V5">
        <f t="shared" si="3"/>
        <v>70.75</v>
      </c>
    </row>
    <row r="6" spans="1:22" x14ac:dyDescent="0.45">
      <c r="A6" t="s">
        <v>22</v>
      </c>
      <c r="B6" t="s">
        <v>34</v>
      </c>
      <c r="C6" t="s">
        <v>24</v>
      </c>
      <c r="D6" t="s">
        <v>31</v>
      </c>
      <c r="E6" t="s">
        <v>26</v>
      </c>
      <c r="F6" t="s">
        <v>27</v>
      </c>
      <c r="G6" t="s">
        <v>33</v>
      </c>
      <c r="H6" t="s">
        <v>29</v>
      </c>
      <c r="I6" t="s">
        <v>30</v>
      </c>
      <c r="J6" s="3">
        <v>49</v>
      </c>
      <c r="K6">
        <v>50000</v>
      </c>
      <c r="L6">
        <v>2288685.34</v>
      </c>
      <c r="M6">
        <v>0</v>
      </c>
      <c r="N6">
        <v>0</v>
      </c>
      <c r="O6" s="3">
        <v>63</v>
      </c>
      <c r="P6">
        <f>SUM($L$2:L6)</f>
        <v>15605031.249999998</v>
      </c>
      <c r="Q6" s="4">
        <f t="shared" si="0"/>
        <v>0.16775886232421092</v>
      </c>
      <c r="R6">
        <f t="shared" si="1"/>
        <v>36328.338730158728</v>
      </c>
      <c r="S6">
        <f t="shared" si="2"/>
        <v>36328.338730158728</v>
      </c>
      <c r="T6">
        <v>5</v>
      </c>
      <c r="U6" s="3">
        <f t="shared" si="4"/>
        <v>346</v>
      </c>
      <c r="V6">
        <f t="shared" si="3"/>
        <v>69.2</v>
      </c>
    </row>
    <row r="7" spans="1:22" x14ac:dyDescent="0.45">
      <c r="A7" t="s">
        <v>22</v>
      </c>
      <c r="B7" t="s">
        <v>34</v>
      </c>
      <c r="C7" t="s">
        <v>24</v>
      </c>
      <c r="D7" t="s">
        <v>25</v>
      </c>
      <c r="E7" t="s">
        <v>26</v>
      </c>
      <c r="F7" t="s">
        <v>32</v>
      </c>
      <c r="G7" t="s">
        <v>28</v>
      </c>
      <c r="H7" t="s">
        <v>36</v>
      </c>
      <c r="I7" t="s">
        <v>30</v>
      </c>
      <c r="J7" s="3">
        <v>23</v>
      </c>
      <c r="K7">
        <v>45000</v>
      </c>
      <c r="L7">
        <v>2283668.69</v>
      </c>
      <c r="M7">
        <v>0</v>
      </c>
      <c r="N7">
        <v>0</v>
      </c>
      <c r="O7" s="3">
        <v>43</v>
      </c>
      <c r="P7">
        <f>SUM($L$2:L7)</f>
        <v>17888699.939999998</v>
      </c>
      <c r="Q7" s="4">
        <f t="shared" si="0"/>
        <v>0.19230899972684004</v>
      </c>
      <c r="R7">
        <f t="shared" si="1"/>
        <v>53108.574186046513</v>
      </c>
      <c r="S7">
        <f t="shared" si="2"/>
        <v>53108.574186046513</v>
      </c>
      <c r="T7">
        <v>6</v>
      </c>
      <c r="U7" s="3">
        <f t="shared" si="4"/>
        <v>389</v>
      </c>
      <c r="V7">
        <f t="shared" si="3"/>
        <v>64.833333333333329</v>
      </c>
    </row>
    <row r="8" spans="1:22" x14ac:dyDescent="0.45">
      <c r="A8" t="s">
        <v>22</v>
      </c>
      <c r="B8" t="s">
        <v>23</v>
      </c>
      <c r="C8" t="s">
        <v>24</v>
      </c>
      <c r="D8" t="s">
        <v>31</v>
      </c>
      <c r="E8" t="s">
        <v>26</v>
      </c>
      <c r="F8" t="s">
        <v>32</v>
      </c>
      <c r="G8" t="s">
        <v>33</v>
      </c>
      <c r="H8" t="s">
        <v>36</v>
      </c>
      <c r="I8" t="s">
        <v>30</v>
      </c>
      <c r="J8" s="3">
        <v>27</v>
      </c>
      <c r="K8">
        <v>45000</v>
      </c>
      <c r="L8">
        <v>2279629.08</v>
      </c>
      <c r="M8">
        <v>0</v>
      </c>
      <c r="N8">
        <v>0</v>
      </c>
      <c r="O8" s="3">
        <v>43</v>
      </c>
      <c r="P8">
        <f>SUM($L$2:L8)</f>
        <v>20168329.019999996</v>
      </c>
      <c r="Q8" s="4">
        <f t="shared" si="0"/>
        <v>0.21681571008552564</v>
      </c>
      <c r="R8">
        <f t="shared" si="1"/>
        <v>53014.62976744186</v>
      </c>
      <c r="S8">
        <f t="shared" si="2"/>
        <v>53014.62976744186</v>
      </c>
      <c r="T8">
        <v>7</v>
      </c>
      <c r="U8" s="3">
        <f t="shared" si="4"/>
        <v>432</v>
      </c>
      <c r="V8">
        <f t="shared" si="3"/>
        <v>61.714285714285715</v>
      </c>
    </row>
    <row r="9" spans="1:22" x14ac:dyDescent="0.4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32</v>
      </c>
      <c r="G9" t="s">
        <v>28</v>
      </c>
      <c r="H9" t="s">
        <v>36</v>
      </c>
      <c r="I9" t="s">
        <v>30</v>
      </c>
      <c r="J9" s="3">
        <v>23</v>
      </c>
      <c r="K9">
        <v>45000</v>
      </c>
      <c r="L9">
        <v>2260182.4700000002</v>
      </c>
      <c r="M9">
        <v>0</v>
      </c>
      <c r="N9">
        <v>0</v>
      </c>
      <c r="O9" s="3">
        <v>43</v>
      </c>
      <c r="P9">
        <f>SUM($L$2:L9)</f>
        <v>22428511.489999995</v>
      </c>
      <c r="Q9" s="4">
        <f t="shared" si="0"/>
        <v>0.24111336343449441</v>
      </c>
      <c r="R9">
        <f t="shared" si="1"/>
        <v>52562.383023255818</v>
      </c>
      <c r="S9">
        <f t="shared" si="2"/>
        <v>52562.383023255818</v>
      </c>
      <c r="T9">
        <v>8</v>
      </c>
      <c r="U9" s="3">
        <f t="shared" si="4"/>
        <v>475</v>
      </c>
      <c r="V9">
        <f t="shared" si="3"/>
        <v>59.375</v>
      </c>
    </row>
    <row r="10" spans="1:22" x14ac:dyDescent="0.45">
      <c r="A10" t="s">
        <v>22</v>
      </c>
      <c r="B10" t="s">
        <v>23</v>
      </c>
      <c r="C10" t="s">
        <v>24</v>
      </c>
      <c r="D10" t="s">
        <v>31</v>
      </c>
      <c r="E10" t="s">
        <v>26</v>
      </c>
      <c r="F10" t="s">
        <v>37</v>
      </c>
      <c r="G10" t="s">
        <v>33</v>
      </c>
      <c r="H10" t="s">
        <v>36</v>
      </c>
      <c r="I10" t="s">
        <v>30</v>
      </c>
      <c r="J10" s="3">
        <v>49</v>
      </c>
      <c r="K10">
        <v>6000</v>
      </c>
      <c r="L10">
        <v>1875678.31</v>
      </c>
      <c r="M10">
        <v>701248.91999999993</v>
      </c>
      <c r="N10">
        <v>4</v>
      </c>
      <c r="O10" s="3">
        <v>47</v>
      </c>
      <c r="P10">
        <f>SUM($L$2:L10)</f>
        <v>24304189.799999993</v>
      </c>
      <c r="Q10" s="4">
        <f t="shared" si="0"/>
        <v>0.26127747937446077</v>
      </c>
      <c r="R10">
        <f t="shared" si="1"/>
        <v>39908.049148936174</v>
      </c>
      <c r="S10">
        <f t="shared" si="2"/>
        <v>54828.238936170215</v>
      </c>
      <c r="T10">
        <v>9</v>
      </c>
      <c r="U10" s="3">
        <f t="shared" si="4"/>
        <v>522</v>
      </c>
      <c r="V10">
        <f t="shared" si="3"/>
        <v>58</v>
      </c>
    </row>
    <row r="11" spans="1:22" x14ac:dyDescent="0.45">
      <c r="A11" t="s">
        <v>22</v>
      </c>
      <c r="B11" t="s">
        <v>34</v>
      </c>
      <c r="C11" t="s">
        <v>24</v>
      </c>
      <c r="D11" t="s">
        <v>31</v>
      </c>
      <c r="E11" t="s">
        <v>26</v>
      </c>
      <c r="F11" t="s">
        <v>37</v>
      </c>
      <c r="G11" t="s">
        <v>33</v>
      </c>
      <c r="H11" t="s">
        <v>36</v>
      </c>
      <c r="I11" t="s">
        <v>30</v>
      </c>
      <c r="J11" s="3">
        <v>46</v>
      </c>
      <c r="K11">
        <v>6000</v>
      </c>
      <c r="L11">
        <v>1813121.77</v>
      </c>
      <c r="M11">
        <v>375494.99</v>
      </c>
      <c r="N11">
        <v>3</v>
      </c>
      <c r="O11" s="3">
        <v>47</v>
      </c>
      <c r="P11">
        <f>SUM($L$2:L11)</f>
        <v>26117311.569999993</v>
      </c>
      <c r="Q11" s="4">
        <f t="shared" si="0"/>
        <v>0.28076909336212641</v>
      </c>
      <c r="R11">
        <f t="shared" si="1"/>
        <v>38577.058936170215</v>
      </c>
      <c r="S11">
        <f t="shared" si="2"/>
        <v>46566.314042553189</v>
      </c>
      <c r="T11">
        <v>10</v>
      </c>
      <c r="U11" s="3">
        <f t="shared" si="4"/>
        <v>569</v>
      </c>
      <c r="V11">
        <f t="shared" si="3"/>
        <v>56.9</v>
      </c>
    </row>
    <row r="12" spans="1:22" x14ac:dyDescent="0.45">
      <c r="A12" t="s">
        <v>22</v>
      </c>
      <c r="B12" t="s">
        <v>23</v>
      </c>
      <c r="C12" t="s">
        <v>24</v>
      </c>
      <c r="D12" t="s">
        <v>31</v>
      </c>
      <c r="E12" t="s">
        <v>26</v>
      </c>
      <c r="F12" t="s">
        <v>27</v>
      </c>
      <c r="G12" t="s">
        <v>33</v>
      </c>
      <c r="H12" t="s">
        <v>36</v>
      </c>
      <c r="I12" t="s">
        <v>30</v>
      </c>
      <c r="J12" s="3">
        <v>59</v>
      </c>
      <c r="K12">
        <v>15000</v>
      </c>
      <c r="L12">
        <v>1794404.41</v>
      </c>
      <c r="M12">
        <v>278493.08</v>
      </c>
      <c r="N12">
        <v>1</v>
      </c>
      <c r="O12" s="3">
        <v>78</v>
      </c>
      <c r="P12">
        <f>SUM($L$2:L12)</f>
        <v>27911715.979999993</v>
      </c>
      <c r="Q12" s="4">
        <f t="shared" si="0"/>
        <v>0.30005949000078402</v>
      </c>
      <c r="R12">
        <f t="shared" si="1"/>
        <v>23005.184743589743</v>
      </c>
      <c r="S12">
        <f t="shared" si="2"/>
        <v>26575.608846153846</v>
      </c>
      <c r="T12">
        <v>11</v>
      </c>
      <c r="U12" s="3">
        <f t="shared" si="4"/>
        <v>647</v>
      </c>
      <c r="V12">
        <f t="shared" si="3"/>
        <v>58.81818181818182</v>
      </c>
    </row>
    <row r="13" spans="1:22" x14ac:dyDescent="0.45">
      <c r="A13" t="s">
        <v>22</v>
      </c>
      <c r="B13" t="s">
        <v>23</v>
      </c>
      <c r="C13" t="s">
        <v>24</v>
      </c>
      <c r="D13" t="s">
        <v>31</v>
      </c>
      <c r="E13" t="s">
        <v>26</v>
      </c>
      <c r="F13" t="s">
        <v>27</v>
      </c>
      <c r="G13" t="s">
        <v>33</v>
      </c>
      <c r="H13" t="s">
        <v>29</v>
      </c>
      <c r="I13" t="s">
        <v>30</v>
      </c>
      <c r="J13" s="3">
        <v>51</v>
      </c>
      <c r="K13">
        <v>25000</v>
      </c>
      <c r="L13">
        <v>1745107.47</v>
      </c>
      <c r="M13">
        <v>137075.15</v>
      </c>
      <c r="N13">
        <v>1</v>
      </c>
      <c r="O13" s="3">
        <v>63</v>
      </c>
      <c r="P13">
        <f>SUM($L$2:L13)</f>
        <v>29656823.449999992</v>
      </c>
      <c r="Q13" s="4">
        <f t="shared" si="0"/>
        <v>0.31881992944563819</v>
      </c>
      <c r="R13">
        <f t="shared" si="1"/>
        <v>27700.118571428571</v>
      </c>
      <c r="S13">
        <f t="shared" si="2"/>
        <v>29875.914603174602</v>
      </c>
      <c r="T13">
        <v>12</v>
      </c>
      <c r="U13" s="3">
        <f t="shared" si="4"/>
        <v>710</v>
      </c>
      <c r="V13">
        <f t="shared" si="3"/>
        <v>59.166666666666664</v>
      </c>
    </row>
    <row r="14" spans="1:22" x14ac:dyDescent="0.45">
      <c r="A14" t="s">
        <v>22</v>
      </c>
      <c r="B14" t="s">
        <v>23</v>
      </c>
      <c r="C14" t="s">
        <v>24</v>
      </c>
      <c r="D14" t="s">
        <v>31</v>
      </c>
      <c r="E14" t="s">
        <v>35</v>
      </c>
      <c r="F14" t="s">
        <v>37</v>
      </c>
      <c r="G14" t="s">
        <v>33</v>
      </c>
      <c r="H14" t="s">
        <v>36</v>
      </c>
      <c r="I14" t="s">
        <v>30</v>
      </c>
      <c r="J14" s="3">
        <v>46</v>
      </c>
      <c r="K14">
        <v>33000</v>
      </c>
      <c r="L14">
        <v>1702121.22</v>
      </c>
      <c r="M14">
        <v>0</v>
      </c>
      <c r="N14">
        <v>0</v>
      </c>
      <c r="O14" s="3">
        <v>43</v>
      </c>
      <c r="P14">
        <f>SUM($L$2:L14)</f>
        <v>31358944.669999991</v>
      </c>
      <c r="Q14" s="4">
        <f t="shared" si="0"/>
        <v>0.33711825354576441</v>
      </c>
      <c r="R14">
        <f t="shared" si="1"/>
        <v>39584.21441860465</v>
      </c>
      <c r="S14">
        <f t="shared" si="2"/>
        <v>39584.21441860465</v>
      </c>
      <c r="T14">
        <v>13</v>
      </c>
      <c r="U14" s="3">
        <f t="shared" si="4"/>
        <v>753</v>
      </c>
      <c r="V14">
        <f t="shared" si="3"/>
        <v>57.92307692307692</v>
      </c>
    </row>
    <row r="15" spans="1:22" x14ac:dyDescent="0.45">
      <c r="A15" t="s">
        <v>38</v>
      </c>
      <c r="B15" t="s">
        <v>23</v>
      </c>
      <c r="C15" t="s">
        <v>39</v>
      </c>
      <c r="D15" t="s">
        <v>25</v>
      </c>
      <c r="E15" t="s">
        <v>26</v>
      </c>
      <c r="F15" t="s">
        <v>32</v>
      </c>
      <c r="G15" t="s">
        <v>28</v>
      </c>
      <c r="H15" t="s">
        <v>29</v>
      </c>
      <c r="I15" t="s">
        <v>30</v>
      </c>
      <c r="J15" s="3">
        <v>10</v>
      </c>
      <c r="K15">
        <v>0</v>
      </c>
      <c r="L15">
        <v>1594113.19</v>
      </c>
      <c r="M15">
        <v>0</v>
      </c>
      <c r="N15">
        <v>0</v>
      </c>
      <c r="O15" s="3">
        <v>48.940959409594093</v>
      </c>
      <c r="P15">
        <f>SUM($L$2:L15)</f>
        <v>32953057.859999992</v>
      </c>
      <c r="Q15" s="4">
        <f t="shared" si="0"/>
        <v>0.35425545826430155</v>
      </c>
      <c r="R15">
        <f t="shared" si="1"/>
        <v>32572.168777048933</v>
      </c>
      <c r="S15">
        <f t="shared" si="2"/>
        <v>32572.168777048933</v>
      </c>
      <c r="T15">
        <v>14</v>
      </c>
      <c r="U15" s="3">
        <f t="shared" si="4"/>
        <v>801.94095940959414</v>
      </c>
      <c r="V15">
        <f t="shared" si="3"/>
        <v>57.281497100685293</v>
      </c>
    </row>
    <row r="16" spans="1:22" x14ac:dyDescent="0.45">
      <c r="A16" t="s">
        <v>22</v>
      </c>
      <c r="B16" t="s">
        <v>34</v>
      </c>
      <c r="C16" t="s">
        <v>24</v>
      </c>
      <c r="D16" t="s">
        <v>31</v>
      </c>
      <c r="E16" t="s">
        <v>26</v>
      </c>
      <c r="F16" t="s">
        <v>32</v>
      </c>
      <c r="G16" t="s">
        <v>33</v>
      </c>
      <c r="H16" t="s">
        <v>36</v>
      </c>
      <c r="I16" t="s">
        <v>30</v>
      </c>
      <c r="J16" s="3">
        <v>46</v>
      </c>
      <c r="K16">
        <v>0</v>
      </c>
      <c r="L16">
        <v>1528553.5</v>
      </c>
      <c r="M16">
        <v>721444.88000000012</v>
      </c>
      <c r="N16">
        <v>10</v>
      </c>
      <c r="O16" s="3">
        <v>48.940959409594093</v>
      </c>
      <c r="P16">
        <f>SUM($L$2:L16)</f>
        <v>34481611.359999992</v>
      </c>
      <c r="Q16" s="4">
        <f t="shared" si="0"/>
        <v>0.37068787624883398</v>
      </c>
      <c r="R16">
        <f t="shared" si="1"/>
        <v>31232.601862323758</v>
      </c>
      <c r="S16">
        <f t="shared" si="2"/>
        <v>45973.728491291564</v>
      </c>
      <c r="T16">
        <v>15</v>
      </c>
      <c r="U16" s="3">
        <f t="shared" si="4"/>
        <v>850.88191881918829</v>
      </c>
      <c r="V16">
        <f t="shared" si="3"/>
        <v>56.725461254612554</v>
      </c>
    </row>
    <row r="17" spans="1:22" x14ac:dyDescent="0.45">
      <c r="A17" t="s">
        <v>22</v>
      </c>
      <c r="B17" t="s">
        <v>23</v>
      </c>
      <c r="C17" t="s">
        <v>24</v>
      </c>
      <c r="D17" t="s">
        <v>31</v>
      </c>
      <c r="E17" t="s">
        <v>26</v>
      </c>
      <c r="F17" t="s">
        <v>37</v>
      </c>
      <c r="G17" t="s">
        <v>33</v>
      </c>
      <c r="H17" t="s">
        <v>29</v>
      </c>
      <c r="I17" t="s">
        <v>30</v>
      </c>
      <c r="J17" s="3">
        <v>47</v>
      </c>
      <c r="K17">
        <v>13000</v>
      </c>
      <c r="L17">
        <v>1301084.5</v>
      </c>
      <c r="M17">
        <v>0</v>
      </c>
      <c r="N17">
        <v>0</v>
      </c>
      <c r="O17" s="3">
        <v>32</v>
      </c>
      <c r="P17">
        <f>SUM($L$2:L17)</f>
        <v>35782695.859999992</v>
      </c>
      <c r="Q17" s="4">
        <f t="shared" si="0"/>
        <v>0.38467493285967319</v>
      </c>
      <c r="R17">
        <f t="shared" si="1"/>
        <v>40658.890625</v>
      </c>
      <c r="S17">
        <f t="shared" si="2"/>
        <v>40658.890625</v>
      </c>
      <c r="T17">
        <v>16</v>
      </c>
      <c r="U17" s="3">
        <f t="shared" si="4"/>
        <v>882.88191881918829</v>
      </c>
      <c r="V17">
        <f t="shared" si="3"/>
        <v>55.180119926199268</v>
      </c>
    </row>
    <row r="18" spans="1:22" x14ac:dyDescent="0.45">
      <c r="A18" t="s">
        <v>22</v>
      </c>
      <c r="B18" t="s">
        <v>23</v>
      </c>
      <c r="C18" t="s">
        <v>24</v>
      </c>
      <c r="D18" t="s">
        <v>31</v>
      </c>
      <c r="E18" t="s">
        <v>26</v>
      </c>
      <c r="F18" t="s">
        <v>32</v>
      </c>
      <c r="G18" t="s">
        <v>33</v>
      </c>
      <c r="H18" t="s">
        <v>36</v>
      </c>
      <c r="I18" t="s">
        <v>40</v>
      </c>
      <c r="J18" s="3">
        <v>44</v>
      </c>
      <c r="K18">
        <v>10000</v>
      </c>
      <c r="L18">
        <v>1264519.22</v>
      </c>
      <c r="M18">
        <v>0</v>
      </c>
      <c r="N18">
        <v>0</v>
      </c>
      <c r="O18" s="3">
        <v>76</v>
      </c>
      <c r="P18">
        <f>SUM($L$2:L18)</f>
        <v>37047215.079999991</v>
      </c>
      <c r="Q18" s="4">
        <f t="shared" si="0"/>
        <v>0.39826890151861438</v>
      </c>
      <c r="R18">
        <f t="shared" si="1"/>
        <v>16638.410789473684</v>
      </c>
      <c r="S18">
        <f t="shared" si="2"/>
        <v>16638.410789473684</v>
      </c>
      <c r="T18">
        <v>17</v>
      </c>
      <c r="U18" s="3">
        <f t="shared" si="4"/>
        <v>958.88191881918829</v>
      </c>
      <c r="V18">
        <f t="shared" si="3"/>
        <v>56.4048187540699</v>
      </c>
    </row>
    <row r="19" spans="1:22" x14ac:dyDescent="0.45">
      <c r="A19" t="s">
        <v>38</v>
      </c>
      <c r="B19" t="s">
        <v>34</v>
      </c>
      <c r="C19" t="s">
        <v>39</v>
      </c>
      <c r="D19" t="s">
        <v>31</v>
      </c>
      <c r="E19" t="s">
        <v>26</v>
      </c>
      <c r="F19" t="s">
        <v>32</v>
      </c>
      <c r="G19" t="s">
        <v>33</v>
      </c>
      <c r="H19" t="s">
        <v>36</v>
      </c>
      <c r="I19" t="s">
        <v>30</v>
      </c>
      <c r="J19" s="3">
        <v>65</v>
      </c>
      <c r="K19">
        <v>0</v>
      </c>
      <c r="L19">
        <v>1138977.43</v>
      </c>
      <c r="M19">
        <v>100000</v>
      </c>
      <c r="N19">
        <v>1</v>
      </c>
      <c r="O19" s="3">
        <v>48.940959409594093</v>
      </c>
      <c r="P19">
        <f>SUM($L$2:L19)</f>
        <v>38186192.50999999</v>
      </c>
      <c r="Q19" s="4">
        <f t="shared" si="0"/>
        <v>0.41051325750923462</v>
      </c>
      <c r="R19">
        <f t="shared" si="1"/>
        <v>23272.478589308605</v>
      </c>
      <c r="S19">
        <f t="shared" si="2"/>
        <v>25315.756882304155</v>
      </c>
      <c r="T19">
        <v>18</v>
      </c>
      <c r="U19" s="3">
        <f t="shared" si="4"/>
        <v>1007.8228782287824</v>
      </c>
      <c r="V19">
        <f t="shared" si="3"/>
        <v>55.990159901599021</v>
      </c>
    </row>
    <row r="20" spans="1:22" x14ac:dyDescent="0.45">
      <c r="A20" t="s">
        <v>22</v>
      </c>
      <c r="B20" t="s">
        <v>23</v>
      </c>
      <c r="C20" t="s">
        <v>24</v>
      </c>
      <c r="D20" t="s">
        <v>31</v>
      </c>
      <c r="E20" t="s">
        <v>26</v>
      </c>
      <c r="F20" t="s">
        <v>27</v>
      </c>
      <c r="G20" t="s">
        <v>33</v>
      </c>
      <c r="H20" t="s">
        <v>36</v>
      </c>
      <c r="I20" t="s">
        <v>30</v>
      </c>
      <c r="J20" s="3">
        <v>47</v>
      </c>
      <c r="K20">
        <v>8000</v>
      </c>
      <c r="L20">
        <v>1098932.8999999999</v>
      </c>
      <c r="M20">
        <v>1614.43</v>
      </c>
      <c r="N20">
        <v>1</v>
      </c>
      <c r="O20" s="3">
        <v>73</v>
      </c>
      <c r="P20">
        <f>SUM($L$2:L20)</f>
        <v>39285125.409999989</v>
      </c>
      <c r="Q20" s="4">
        <f t="shared" si="0"/>
        <v>0.42232712254552834</v>
      </c>
      <c r="R20">
        <f t="shared" si="1"/>
        <v>15053.875342465752</v>
      </c>
      <c r="S20">
        <f t="shared" si="2"/>
        <v>15075.990821917807</v>
      </c>
      <c r="T20">
        <v>19</v>
      </c>
      <c r="U20" s="3">
        <f t="shared" si="4"/>
        <v>1080.8228782287824</v>
      </c>
      <c r="V20">
        <f t="shared" si="3"/>
        <v>56.88541464362013</v>
      </c>
    </row>
    <row r="21" spans="1:22" x14ac:dyDescent="0.45">
      <c r="A21" t="s">
        <v>22</v>
      </c>
      <c r="B21" t="s">
        <v>23</v>
      </c>
      <c r="C21" t="s">
        <v>24</v>
      </c>
      <c r="D21" t="s">
        <v>31</v>
      </c>
      <c r="E21" t="s">
        <v>26</v>
      </c>
      <c r="F21" t="s">
        <v>27</v>
      </c>
      <c r="G21" t="s">
        <v>33</v>
      </c>
      <c r="H21" t="s">
        <v>36</v>
      </c>
      <c r="I21" t="s">
        <v>30</v>
      </c>
      <c r="J21" s="3">
        <v>29</v>
      </c>
      <c r="K21">
        <v>12000</v>
      </c>
      <c r="L21">
        <v>1074645.3899999999</v>
      </c>
      <c r="M21">
        <v>0</v>
      </c>
      <c r="N21">
        <v>0</v>
      </c>
      <c r="O21" s="3">
        <v>71</v>
      </c>
      <c r="P21">
        <f>SUM($L$2:L21)</f>
        <v>40359770.79999999</v>
      </c>
      <c r="Q21" s="4">
        <f t="shared" si="0"/>
        <v>0.43387988941540295</v>
      </c>
      <c r="R21">
        <f t="shared" si="1"/>
        <v>15135.85056338028</v>
      </c>
      <c r="S21">
        <f t="shared" si="2"/>
        <v>15135.85056338028</v>
      </c>
      <c r="T21">
        <v>20</v>
      </c>
      <c r="U21" s="3">
        <f t="shared" si="4"/>
        <v>1151.8228782287824</v>
      </c>
      <c r="V21">
        <f t="shared" si="3"/>
        <v>57.591143911439119</v>
      </c>
    </row>
    <row r="22" spans="1:22" x14ac:dyDescent="0.45">
      <c r="A22" t="s">
        <v>41</v>
      </c>
      <c r="B22" t="s">
        <v>23</v>
      </c>
      <c r="C22" t="s">
        <v>24</v>
      </c>
      <c r="D22" t="s">
        <v>31</v>
      </c>
      <c r="E22" t="s">
        <v>35</v>
      </c>
      <c r="F22" t="s">
        <v>32</v>
      </c>
      <c r="G22" t="s">
        <v>33</v>
      </c>
      <c r="H22" t="s">
        <v>29</v>
      </c>
      <c r="I22" t="s">
        <v>30</v>
      </c>
      <c r="J22" s="3">
        <v>38</v>
      </c>
      <c r="K22">
        <v>10000</v>
      </c>
      <c r="L22">
        <v>1072079.17</v>
      </c>
      <c r="M22">
        <v>0</v>
      </c>
      <c r="N22">
        <v>0</v>
      </c>
      <c r="O22" s="3">
        <v>82</v>
      </c>
      <c r="P22">
        <f>SUM($L$2:L22)</f>
        <v>41431849.969999991</v>
      </c>
      <c r="Q22" s="4">
        <f t="shared" si="0"/>
        <v>0.44540506863480916</v>
      </c>
      <c r="R22">
        <f t="shared" si="1"/>
        <v>13074.136219512195</v>
      </c>
      <c r="S22">
        <f t="shared" si="2"/>
        <v>13074.136219512195</v>
      </c>
      <c r="T22">
        <v>21</v>
      </c>
      <c r="U22" s="3">
        <f t="shared" si="4"/>
        <v>1233.8228782287824</v>
      </c>
      <c r="V22">
        <f t="shared" si="3"/>
        <v>58.753470391846783</v>
      </c>
    </row>
    <row r="23" spans="1:22" x14ac:dyDescent="0.45">
      <c r="A23" t="s">
        <v>22</v>
      </c>
      <c r="B23" t="s">
        <v>23</v>
      </c>
      <c r="C23" t="s">
        <v>24</v>
      </c>
      <c r="D23" t="s">
        <v>31</v>
      </c>
      <c r="E23" t="s">
        <v>26</v>
      </c>
      <c r="F23" t="s">
        <v>27</v>
      </c>
      <c r="G23" t="s">
        <v>33</v>
      </c>
      <c r="H23" t="s">
        <v>36</v>
      </c>
      <c r="I23" t="s">
        <v>40</v>
      </c>
      <c r="J23" s="3">
        <v>66</v>
      </c>
      <c r="K23">
        <v>0</v>
      </c>
      <c r="L23">
        <v>1064732.5900000001</v>
      </c>
      <c r="M23">
        <v>2480228.4</v>
      </c>
      <c r="N23">
        <v>26</v>
      </c>
      <c r="O23" s="3">
        <v>92</v>
      </c>
      <c r="P23">
        <f>SUM($L$2:L23)</f>
        <v>42496582.559999995</v>
      </c>
      <c r="Q23" s="4">
        <f t="shared" si="0"/>
        <v>0.45685126987057478</v>
      </c>
      <c r="R23">
        <f t="shared" si="1"/>
        <v>11573.180326086958</v>
      </c>
      <c r="S23">
        <f t="shared" si="2"/>
        <v>38532.184673913049</v>
      </c>
      <c r="T23">
        <v>22</v>
      </c>
      <c r="U23" s="3">
        <f t="shared" si="4"/>
        <v>1325.8228782287824</v>
      </c>
      <c r="V23">
        <f t="shared" si="3"/>
        <v>60.264676283126477</v>
      </c>
    </row>
    <row r="24" spans="1:22" x14ac:dyDescent="0.45">
      <c r="A24" t="s">
        <v>22</v>
      </c>
      <c r="B24" t="s">
        <v>23</v>
      </c>
      <c r="C24" t="s">
        <v>24</v>
      </c>
      <c r="D24" t="s">
        <v>31</v>
      </c>
      <c r="E24" t="s">
        <v>26</v>
      </c>
      <c r="F24" t="s">
        <v>27</v>
      </c>
      <c r="G24" t="s">
        <v>33</v>
      </c>
      <c r="H24" t="s">
        <v>29</v>
      </c>
      <c r="I24" t="s">
        <v>30</v>
      </c>
      <c r="J24" s="3">
        <v>49</v>
      </c>
      <c r="K24">
        <v>9000</v>
      </c>
      <c r="L24">
        <v>1060389.3500000001</v>
      </c>
      <c r="M24">
        <v>143567.51</v>
      </c>
      <c r="N24">
        <v>2</v>
      </c>
      <c r="O24" s="3">
        <v>86</v>
      </c>
      <c r="P24">
        <f>SUM($L$2:L24)</f>
        <v>43556971.909999996</v>
      </c>
      <c r="Q24" s="4">
        <f t="shared" si="0"/>
        <v>0.46825077994696185</v>
      </c>
      <c r="R24">
        <f t="shared" si="1"/>
        <v>12330.108720930233</v>
      </c>
      <c r="S24">
        <f t="shared" si="2"/>
        <v>13999.498372093025</v>
      </c>
      <c r="T24">
        <v>23</v>
      </c>
      <c r="U24" s="3">
        <f t="shared" si="4"/>
        <v>1411.8228782287824</v>
      </c>
      <c r="V24">
        <f t="shared" si="3"/>
        <v>61.383603401251413</v>
      </c>
    </row>
    <row r="25" spans="1:22" x14ac:dyDescent="0.45">
      <c r="A25" t="s">
        <v>22</v>
      </c>
      <c r="B25" t="s">
        <v>34</v>
      </c>
      <c r="C25" t="s">
        <v>24</v>
      </c>
      <c r="D25" t="s">
        <v>31</v>
      </c>
      <c r="E25" t="s">
        <v>26</v>
      </c>
      <c r="F25" t="s">
        <v>32</v>
      </c>
      <c r="G25" t="s">
        <v>33</v>
      </c>
      <c r="H25" t="s">
        <v>29</v>
      </c>
      <c r="I25" t="s">
        <v>30</v>
      </c>
      <c r="J25" s="3">
        <v>46</v>
      </c>
      <c r="K25">
        <v>5000</v>
      </c>
      <c r="L25">
        <v>992842.94</v>
      </c>
      <c r="M25">
        <v>155474.25</v>
      </c>
      <c r="N25">
        <v>2</v>
      </c>
      <c r="O25" s="3">
        <v>42</v>
      </c>
      <c r="P25">
        <f>SUM($L$2:L25)</f>
        <v>44549814.849999994</v>
      </c>
      <c r="Q25" s="4">
        <f t="shared" si="0"/>
        <v>0.47892414544124912</v>
      </c>
      <c r="R25">
        <f t="shared" si="1"/>
        <v>23639.117619047618</v>
      </c>
      <c r="S25">
        <f t="shared" si="2"/>
        <v>27340.885476190473</v>
      </c>
      <c r="T25">
        <v>24</v>
      </c>
      <c r="U25" s="3">
        <f t="shared" si="4"/>
        <v>1453.8228782287824</v>
      </c>
      <c r="V25">
        <f t="shared" si="3"/>
        <v>60.575953259532604</v>
      </c>
    </row>
    <row r="26" spans="1:22" x14ac:dyDescent="0.45">
      <c r="A26" t="s">
        <v>22</v>
      </c>
      <c r="B26" t="s">
        <v>23</v>
      </c>
      <c r="C26" t="s">
        <v>24</v>
      </c>
      <c r="D26" t="s">
        <v>31</v>
      </c>
      <c r="E26" t="s">
        <v>35</v>
      </c>
      <c r="F26" t="s">
        <v>27</v>
      </c>
      <c r="G26" t="s">
        <v>33</v>
      </c>
      <c r="H26" t="s">
        <v>29</v>
      </c>
      <c r="I26" t="s">
        <v>30</v>
      </c>
      <c r="J26" s="3">
        <v>43</v>
      </c>
      <c r="K26">
        <v>9000</v>
      </c>
      <c r="L26">
        <v>985112.58</v>
      </c>
      <c r="M26">
        <v>0</v>
      </c>
      <c r="N26">
        <v>0</v>
      </c>
      <c r="O26" s="3">
        <v>71</v>
      </c>
      <c r="P26">
        <f>SUM($L$2:L26)</f>
        <v>45534927.429999992</v>
      </c>
      <c r="Q26" s="4">
        <f t="shared" si="0"/>
        <v>0.4895144071994284</v>
      </c>
      <c r="R26">
        <f t="shared" si="1"/>
        <v>13874.825070422534</v>
      </c>
      <c r="S26">
        <f t="shared" si="2"/>
        <v>13874.825070422534</v>
      </c>
      <c r="T26">
        <v>25</v>
      </c>
      <c r="U26" s="3">
        <f t="shared" si="4"/>
        <v>1524.8228782287824</v>
      </c>
      <c r="V26">
        <f t="shared" si="3"/>
        <v>60.992915129151299</v>
      </c>
    </row>
    <row r="27" spans="1:22" x14ac:dyDescent="0.45">
      <c r="A27" t="s">
        <v>38</v>
      </c>
      <c r="B27" t="s">
        <v>23</v>
      </c>
      <c r="C27" t="s">
        <v>24</v>
      </c>
      <c r="D27" t="s">
        <v>31</v>
      </c>
      <c r="E27" t="s">
        <v>35</v>
      </c>
      <c r="F27" t="s">
        <v>32</v>
      </c>
      <c r="G27" t="s">
        <v>33</v>
      </c>
      <c r="H27" t="s">
        <v>36</v>
      </c>
      <c r="I27" t="s">
        <v>30</v>
      </c>
      <c r="J27" s="3">
        <v>47</v>
      </c>
      <c r="K27">
        <v>2000</v>
      </c>
      <c r="L27">
        <v>977753.81</v>
      </c>
      <c r="M27">
        <v>420369.35</v>
      </c>
      <c r="N27">
        <v>9</v>
      </c>
      <c r="O27" s="3">
        <v>70</v>
      </c>
      <c r="P27">
        <f>SUM($L$2:L27)</f>
        <v>46512681.239999995</v>
      </c>
      <c r="Q27" s="4">
        <f t="shared" si="0"/>
        <v>0.50002555992773601</v>
      </c>
      <c r="R27">
        <f t="shared" si="1"/>
        <v>13967.911571428573</v>
      </c>
      <c r="S27">
        <f t="shared" si="2"/>
        <v>19973.188000000002</v>
      </c>
      <c r="T27">
        <v>26</v>
      </c>
      <c r="U27" s="3">
        <f t="shared" si="4"/>
        <v>1594.8228782287824</v>
      </c>
      <c r="V27">
        <f t="shared" si="3"/>
        <v>61.339341470337786</v>
      </c>
    </row>
    <row r="28" spans="1:22" x14ac:dyDescent="0.45">
      <c r="A28" t="s">
        <v>22</v>
      </c>
      <c r="B28" t="s">
        <v>34</v>
      </c>
      <c r="C28" t="s">
        <v>24</v>
      </c>
      <c r="D28" t="s">
        <v>31</v>
      </c>
      <c r="E28" t="s">
        <v>26</v>
      </c>
      <c r="F28" t="s">
        <v>27</v>
      </c>
      <c r="G28" t="s">
        <v>33</v>
      </c>
      <c r="H28" t="s">
        <v>36</v>
      </c>
      <c r="I28" t="s">
        <v>30</v>
      </c>
      <c r="J28" s="3">
        <v>43</v>
      </c>
      <c r="K28">
        <v>0</v>
      </c>
      <c r="L28">
        <v>965308.86</v>
      </c>
      <c r="M28">
        <v>0</v>
      </c>
      <c r="N28">
        <v>0</v>
      </c>
      <c r="O28" s="3">
        <v>64</v>
      </c>
      <c r="P28">
        <f>SUM($L$2:L28)</f>
        <v>47477990.099999994</v>
      </c>
      <c r="Q28" s="4">
        <f t="shared" si="0"/>
        <v>0.51040292563439427</v>
      </c>
      <c r="R28">
        <f t="shared" si="1"/>
        <v>15082.9509375</v>
      </c>
      <c r="S28">
        <f t="shared" si="2"/>
        <v>15082.9509375</v>
      </c>
      <c r="T28">
        <v>27</v>
      </c>
      <c r="U28" s="3">
        <f t="shared" si="4"/>
        <v>1658.8228782287824</v>
      </c>
      <c r="V28">
        <f t="shared" si="3"/>
        <v>61.437884378843791</v>
      </c>
    </row>
    <row r="29" spans="1:22" x14ac:dyDescent="0.45">
      <c r="A29" t="s">
        <v>38</v>
      </c>
      <c r="B29" t="s">
        <v>34</v>
      </c>
      <c r="C29" t="s">
        <v>39</v>
      </c>
      <c r="D29" t="s">
        <v>31</v>
      </c>
      <c r="E29" t="s">
        <v>35</v>
      </c>
      <c r="F29" t="s">
        <v>27</v>
      </c>
      <c r="G29" t="s">
        <v>33</v>
      </c>
      <c r="H29" t="s">
        <v>29</v>
      </c>
      <c r="I29" t="s">
        <v>30</v>
      </c>
      <c r="J29" s="3">
        <v>53</v>
      </c>
      <c r="K29">
        <v>1500</v>
      </c>
      <c r="L29">
        <v>957948.75</v>
      </c>
      <c r="M29">
        <v>302347.09999999998</v>
      </c>
      <c r="N29">
        <v>12</v>
      </c>
      <c r="O29" s="3">
        <v>50</v>
      </c>
      <c r="P29">
        <f>SUM($L$2:L29)</f>
        <v>48435938.849999994</v>
      </c>
      <c r="Q29" s="4">
        <f t="shared" si="0"/>
        <v>0.5207011679057707</v>
      </c>
      <c r="R29">
        <f t="shared" si="1"/>
        <v>19158.974999999999</v>
      </c>
      <c r="S29">
        <f t="shared" si="2"/>
        <v>25205.917000000001</v>
      </c>
      <c r="T29">
        <v>28</v>
      </c>
      <c r="U29" s="3">
        <f t="shared" si="4"/>
        <v>1708.8228782287824</v>
      </c>
      <c r="V29">
        <f t="shared" si="3"/>
        <v>61.029388508170804</v>
      </c>
    </row>
    <row r="30" spans="1:22" x14ac:dyDescent="0.45">
      <c r="A30" t="s">
        <v>22</v>
      </c>
      <c r="B30" t="s">
        <v>23</v>
      </c>
      <c r="C30" t="s">
        <v>24</v>
      </c>
      <c r="D30" t="s">
        <v>31</v>
      </c>
      <c r="E30" t="s">
        <v>26</v>
      </c>
      <c r="F30" t="s">
        <v>27</v>
      </c>
      <c r="G30" t="s">
        <v>33</v>
      </c>
      <c r="H30" t="s">
        <v>36</v>
      </c>
      <c r="I30" t="s">
        <v>30</v>
      </c>
      <c r="J30" s="3">
        <v>54</v>
      </c>
      <c r="K30">
        <v>29000</v>
      </c>
      <c r="L30">
        <v>880891.97</v>
      </c>
      <c r="M30">
        <v>2941983.73</v>
      </c>
      <c r="N30">
        <v>21</v>
      </c>
      <c r="O30" s="3">
        <v>91</v>
      </c>
      <c r="P30">
        <f>SUM($L$2:L30)</f>
        <v>49316830.819999993</v>
      </c>
      <c r="Q30" s="4">
        <f t="shared" si="0"/>
        <v>0.53017102620661416</v>
      </c>
      <c r="R30">
        <f t="shared" si="1"/>
        <v>9680.1315384615373</v>
      </c>
      <c r="S30">
        <f t="shared" si="2"/>
        <v>42009.623076923082</v>
      </c>
      <c r="T30">
        <v>29</v>
      </c>
      <c r="U30" s="3">
        <f t="shared" si="4"/>
        <v>1799.8228782287824</v>
      </c>
      <c r="V30">
        <f t="shared" si="3"/>
        <v>62.062857869958016</v>
      </c>
    </row>
    <row r="31" spans="1:22" x14ac:dyDescent="0.45">
      <c r="A31" t="s">
        <v>22</v>
      </c>
      <c r="B31" t="s">
        <v>34</v>
      </c>
      <c r="C31" t="s">
        <v>24</v>
      </c>
      <c r="D31" t="s">
        <v>31</v>
      </c>
      <c r="E31" t="s">
        <v>35</v>
      </c>
      <c r="F31" t="s">
        <v>32</v>
      </c>
      <c r="G31" t="s">
        <v>33</v>
      </c>
      <c r="H31" t="s">
        <v>42</v>
      </c>
      <c r="I31" t="s">
        <v>40</v>
      </c>
      <c r="J31" s="3">
        <v>50</v>
      </c>
      <c r="K31">
        <v>0</v>
      </c>
      <c r="L31">
        <v>880069.84</v>
      </c>
      <c r="M31">
        <v>2019.59</v>
      </c>
      <c r="N31">
        <v>1</v>
      </c>
      <c r="O31" s="3">
        <v>48.940959409594093</v>
      </c>
      <c r="P31">
        <f>SUM($L$2:L31)</f>
        <v>50196900.659999996</v>
      </c>
      <c r="Q31" s="4">
        <f t="shared" si="0"/>
        <v>0.53963204635832007</v>
      </c>
      <c r="R31">
        <f t="shared" si="1"/>
        <v>17982.276003920681</v>
      </c>
      <c r="S31">
        <f t="shared" si="2"/>
        <v>18023.541847998189</v>
      </c>
      <c r="T31">
        <v>30</v>
      </c>
      <c r="U31" s="3">
        <f t="shared" si="4"/>
        <v>1848.7638376383766</v>
      </c>
      <c r="V31">
        <f t="shared" si="3"/>
        <v>61.625461254612553</v>
      </c>
    </row>
    <row r="32" spans="1:22" x14ac:dyDescent="0.45">
      <c r="A32" t="s">
        <v>38</v>
      </c>
      <c r="B32" t="s">
        <v>34</v>
      </c>
      <c r="C32" t="s">
        <v>39</v>
      </c>
      <c r="D32" t="s">
        <v>31</v>
      </c>
      <c r="E32" t="s">
        <v>35</v>
      </c>
      <c r="F32" t="s">
        <v>27</v>
      </c>
      <c r="G32" t="s">
        <v>33</v>
      </c>
      <c r="H32" t="s">
        <v>36</v>
      </c>
      <c r="I32" t="s">
        <v>30</v>
      </c>
      <c r="J32" s="3">
        <v>55</v>
      </c>
      <c r="K32">
        <v>0</v>
      </c>
      <c r="L32">
        <v>834941.66</v>
      </c>
      <c r="M32">
        <v>550184.62</v>
      </c>
      <c r="N32">
        <v>3</v>
      </c>
      <c r="O32" s="3">
        <v>48.940959409594093</v>
      </c>
      <c r="P32">
        <f>SUM($L$2:L32)</f>
        <v>51031842.319999993</v>
      </c>
      <c r="Q32" s="4">
        <f t="shared" si="0"/>
        <v>0.54860792476219622</v>
      </c>
      <c r="R32">
        <f t="shared" si="1"/>
        <v>17060.181697956723</v>
      </c>
      <c r="S32">
        <f t="shared" si="2"/>
        <v>28301.984609816787</v>
      </c>
      <c r="T32">
        <v>31</v>
      </c>
      <c r="U32" s="3">
        <f t="shared" si="4"/>
        <v>1897.7047970479707</v>
      </c>
      <c r="V32">
        <f t="shared" si="3"/>
        <v>61.21628377574099</v>
      </c>
    </row>
    <row r="33" spans="1:22" x14ac:dyDescent="0.45">
      <c r="A33" t="s">
        <v>22</v>
      </c>
      <c r="B33" t="s">
        <v>34</v>
      </c>
      <c r="C33" t="s">
        <v>24</v>
      </c>
      <c r="D33" t="s">
        <v>25</v>
      </c>
      <c r="E33" t="s">
        <v>26</v>
      </c>
      <c r="F33" t="s">
        <v>27</v>
      </c>
      <c r="G33" t="s">
        <v>33</v>
      </c>
      <c r="H33" t="s">
        <v>36</v>
      </c>
      <c r="I33" t="s">
        <v>30</v>
      </c>
      <c r="J33" s="3">
        <v>69</v>
      </c>
      <c r="K33">
        <v>20000</v>
      </c>
      <c r="L33">
        <v>811936.81</v>
      </c>
      <c r="M33">
        <v>0</v>
      </c>
      <c r="N33">
        <v>0</v>
      </c>
      <c r="O33" s="3">
        <v>41</v>
      </c>
      <c r="P33">
        <f>SUM($L$2:L33)</f>
        <v>51843779.129999995</v>
      </c>
      <c r="Q33" s="4">
        <f t="shared" si="0"/>
        <v>0.55733649398724983</v>
      </c>
      <c r="R33">
        <f t="shared" si="1"/>
        <v>19803.336829268294</v>
      </c>
      <c r="S33">
        <f t="shared" si="2"/>
        <v>19803.336829268294</v>
      </c>
      <c r="T33">
        <v>32</v>
      </c>
      <c r="U33" s="3">
        <f t="shared" si="4"/>
        <v>1938.7047970479707</v>
      </c>
      <c r="V33">
        <f t="shared" si="3"/>
        <v>60.584524907749085</v>
      </c>
    </row>
    <row r="34" spans="1:22" x14ac:dyDescent="0.45">
      <c r="A34" t="s">
        <v>22</v>
      </c>
      <c r="B34" t="s">
        <v>34</v>
      </c>
      <c r="C34" t="s">
        <v>24</v>
      </c>
      <c r="D34" t="s">
        <v>31</v>
      </c>
      <c r="E34" t="s">
        <v>26</v>
      </c>
      <c r="F34" t="s">
        <v>27</v>
      </c>
      <c r="G34" t="s">
        <v>33</v>
      </c>
      <c r="H34" t="s">
        <v>29</v>
      </c>
      <c r="I34" t="s">
        <v>30</v>
      </c>
      <c r="J34" s="3">
        <v>48</v>
      </c>
      <c r="K34">
        <v>15500</v>
      </c>
      <c r="L34">
        <v>790045.62</v>
      </c>
      <c r="M34">
        <v>153900.98000000001</v>
      </c>
      <c r="N34">
        <v>4</v>
      </c>
      <c r="O34" s="3">
        <v>66</v>
      </c>
      <c r="P34">
        <f>SUM($L$2:L34)</f>
        <v>52633824.749999993</v>
      </c>
      <c r="Q34" s="4">
        <f t="shared" si="0"/>
        <v>0.56582972621934968</v>
      </c>
      <c r="R34">
        <f t="shared" si="1"/>
        <v>11970.388181818182</v>
      </c>
      <c r="S34">
        <f t="shared" si="2"/>
        <v>14302.221212121212</v>
      </c>
      <c r="T34">
        <v>33</v>
      </c>
      <c r="U34" s="3">
        <f t="shared" si="4"/>
        <v>2004.7047970479707</v>
      </c>
      <c r="V34">
        <f t="shared" si="3"/>
        <v>60.74863021357487</v>
      </c>
    </row>
    <row r="35" spans="1:22" x14ac:dyDescent="0.45">
      <c r="A35" t="s">
        <v>22</v>
      </c>
      <c r="B35" t="s">
        <v>23</v>
      </c>
      <c r="C35" t="s">
        <v>24</v>
      </c>
      <c r="D35" t="s">
        <v>31</v>
      </c>
      <c r="E35" t="s">
        <v>35</v>
      </c>
      <c r="F35" t="s">
        <v>27</v>
      </c>
      <c r="G35" t="s">
        <v>33</v>
      </c>
      <c r="H35" t="s">
        <v>36</v>
      </c>
      <c r="I35" t="s">
        <v>40</v>
      </c>
      <c r="J35" s="3">
        <v>62</v>
      </c>
      <c r="K35">
        <v>2000</v>
      </c>
      <c r="L35">
        <v>789327.32</v>
      </c>
      <c r="M35">
        <v>365000</v>
      </c>
      <c r="N35">
        <v>5</v>
      </c>
      <c r="O35" s="3">
        <v>83</v>
      </c>
      <c r="P35">
        <f>SUM($L$2:L35)</f>
        <v>53423152.069999993</v>
      </c>
      <c r="Q35" s="4">
        <f t="shared" si="0"/>
        <v>0.57431523650659233</v>
      </c>
      <c r="R35">
        <f t="shared" si="1"/>
        <v>9509.9677108433734</v>
      </c>
      <c r="S35">
        <f t="shared" si="2"/>
        <v>13907.558072289155</v>
      </c>
      <c r="T35">
        <v>34</v>
      </c>
      <c r="U35" s="3">
        <f t="shared" si="4"/>
        <v>2087.7047970479707</v>
      </c>
      <c r="V35">
        <f t="shared" si="3"/>
        <v>61.403082266116783</v>
      </c>
    </row>
    <row r="36" spans="1:22" x14ac:dyDescent="0.45">
      <c r="A36" t="s">
        <v>38</v>
      </c>
      <c r="B36" t="s">
        <v>34</v>
      </c>
      <c r="C36" t="s">
        <v>24</v>
      </c>
      <c r="D36" t="s">
        <v>25</v>
      </c>
      <c r="E36" t="s">
        <v>35</v>
      </c>
      <c r="F36" t="s">
        <v>32</v>
      </c>
      <c r="G36" t="s">
        <v>33</v>
      </c>
      <c r="H36" t="s">
        <v>36</v>
      </c>
      <c r="I36" t="s">
        <v>30</v>
      </c>
      <c r="J36" s="3">
        <v>68</v>
      </c>
      <c r="K36">
        <v>4000</v>
      </c>
      <c r="L36">
        <v>787681.42</v>
      </c>
      <c r="M36">
        <v>325762.15999999997</v>
      </c>
      <c r="N36">
        <v>2</v>
      </c>
      <c r="O36" s="3">
        <v>33</v>
      </c>
      <c r="P36">
        <f>SUM($L$2:L36)</f>
        <v>54210833.489999995</v>
      </c>
      <c r="Q36" s="4">
        <f t="shared" si="0"/>
        <v>0.58278305286505805</v>
      </c>
      <c r="R36">
        <f t="shared" si="1"/>
        <v>23869.133939393942</v>
      </c>
      <c r="S36">
        <f t="shared" si="2"/>
        <v>33740.714545454546</v>
      </c>
      <c r="T36">
        <v>35</v>
      </c>
      <c r="U36" s="3">
        <f t="shared" si="4"/>
        <v>2120.7047970479707</v>
      </c>
      <c r="V36">
        <f t="shared" si="3"/>
        <v>60.591565629942018</v>
      </c>
    </row>
    <row r="37" spans="1:22" x14ac:dyDescent="0.45">
      <c r="A37" t="s">
        <v>22</v>
      </c>
      <c r="B37" t="s">
        <v>23</v>
      </c>
      <c r="C37" t="s">
        <v>24</v>
      </c>
      <c r="D37" t="s">
        <v>31</v>
      </c>
      <c r="E37" t="s">
        <v>35</v>
      </c>
      <c r="F37" t="s">
        <v>27</v>
      </c>
      <c r="G37" t="s">
        <v>33</v>
      </c>
      <c r="H37" t="s">
        <v>36</v>
      </c>
      <c r="I37" t="s">
        <v>30</v>
      </c>
      <c r="J37" s="3">
        <v>60</v>
      </c>
      <c r="K37">
        <v>7500</v>
      </c>
      <c r="L37">
        <v>783830.9</v>
      </c>
      <c r="M37">
        <v>154622.66</v>
      </c>
      <c r="N37">
        <v>1</v>
      </c>
      <c r="O37" s="3">
        <v>51</v>
      </c>
      <c r="P37">
        <f>SUM($L$2:L37)</f>
        <v>54994664.389999993</v>
      </c>
      <c r="Q37" s="4">
        <f t="shared" si="0"/>
        <v>0.5912094749549569</v>
      </c>
      <c r="R37">
        <f t="shared" si="1"/>
        <v>15369.233333333334</v>
      </c>
      <c r="S37">
        <f t="shared" si="2"/>
        <v>18401.050196078431</v>
      </c>
      <c r="T37">
        <v>36</v>
      </c>
      <c r="U37" s="3">
        <f t="shared" si="4"/>
        <v>2171.7047970479707</v>
      </c>
      <c r="V37">
        <f t="shared" si="3"/>
        <v>60.325133251332517</v>
      </c>
    </row>
    <row r="38" spans="1:22" x14ac:dyDescent="0.45">
      <c r="A38" t="s">
        <v>22</v>
      </c>
      <c r="B38" t="s">
        <v>34</v>
      </c>
      <c r="C38" t="s">
        <v>24</v>
      </c>
      <c r="D38" t="s">
        <v>31</v>
      </c>
      <c r="E38" t="s">
        <v>26</v>
      </c>
      <c r="F38" t="s">
        <v>37</v>
      </c>
      <c r="G38" t="s">
        <v>33</v>
      </c>
      <c r="H38" t="s">
        <v>29</v>
      </c>
      <c r="I38" t="s">
        <v>30</v>
      </c>
      <c r="J38" s="3">
        <v>46</v>
      </c>
      <c r="K38">
        <v>10000</v>
      </c>
      <c r="L38">
        <v>778263.14</v>
      </c>
      <c r="M38">
        <v>0</v>
      </c>
      <c r="N38">
        <v>0</v>
      </c>
      <c r="O38" s="3">
        <v>71</v>
      </c>
      <c r="P38">
        <f>SUM($L$2:L38)</f>
        <v>55772927.529999994</v>
      </c>
      <c r="Q38" s="4">
        <f t="shared" si="0"/>
        <v>0.59957604192067626</v>
      </c>
      <c r="R38">
        <f t="shared" si="1"/>
        <v>10961.452676056339</v>
      </c>
      <c r="S38">
        <f t="shared" si="2"/>
        <v>10961.452676056339</v>
      </c>
      <c r="T38">
        <v>37</v>
      </c>
      <c r="U38" s="3">
        <f t="shared" si="4"/>
        <v>2242.7047970479707</v>
      </c>
      <c r="V38">
        <f t="shared" si="3"/>
        <v>60.613643163458669</v>
      </c>
    </row>
    <row r="39" spans="1:22" x14ac:dyDescent="0.45">
      <c r="A39" t="s">
        <v>22</v>
      </c>
      <c r="B39" t="s">
        <v>23</v>
      </c>
      <c r="C39" t="s">
        <v>24</v>
      </c>
      <c r="D39" t="s">
        <v>31</v>
      </c>
      <c r="E39" t="s">
        <v>26</v>
      </c>
      <c r="F39" t="s">
        <v>32</v>
      </c>
      <c r="G39" t="s">
        <v>33</v>
      </c>
      <c r="H39" t="s">
        <v>36</v>
      </c>
      <c r="I39" t="s">
        <v>30</v>
      </c>
      <c r="J39" s="3">
        <v>46</v>
      </c>
      <c r="K39">
        <v>16000</v>
      </c>
      <c r="L39">
        <v>777010.66</v>
      </c>
      <c r="M39">
        <v>0</v>
      </c>
      <c r="N39">
        <v>0</v>
      </c>
      <c r="O39" s="3">
        <v>70</v>
      </c>
      <c r="P39">
        <f>SUM($L$2:L39)</f>
        <v>56549938.18999999</v>
      </c>
      <c r="Q39" s="4">
        <f t="shared" si="0"/>
        <v>0.60792914434303658</v>
      </c>
      <c r="R39">
        <f t="shared" si="1"/>
        <v>11100.152285714286</v>
      </c>
      <c r="S39">
        <f t="shared" si="2"/>
        <v>11100.152285714286</v>
      </c>
      <c r="T39">
        <v>38</v>
      </c>
      <c r="U39" s="3">
        <f t="shared" si="4"/>
        <v>2312.7047970479707</v>
      </c>
      <c r="V39">
        <f t="shared" si="3"/>
        <v>60.860652553893964</v>
      </c>
    </row>
    <row r="40" spans="1:22" x14ac:dyDescent="0.45">
      <c r="A40" t="s">
        <v>22</v>
      </c>
      <c r="B40" t="s">
        <v>23</v>
      </c>
      <c r="C40" t="s">
        <v>24</v>
      </c>
      <c r="D40" t="s">
        <v>31</v>
      </c>
      <c r="E40" t="s">
        <v>26</v>
      </c>
      <c r="F40" t="s">
        <v>27</v>
      </c>
      <c r="G40" t="s">
        <v>33</v>
      </c>
      <c r="H40" t="s">
        <v>36</v>
      </c>
      <c r="I40" t="s">
        <v>30</v>
      </c>
      <c r="J40" s="3">
        <v>44</v>
      </c>
      <c r="K40">
        <v>9000</v>
      </c>
      <c r="L40">
        <v>725446.95</v>
      </c>
      <c r="M40">
        <v>59385.13</v>
      </c>
      <c r="N40">
        <v>1</v>
      </c>
      <c r="O40" s="3">
        <v>91</v>
      </c>
      <c r="P40">
        <f>SUM($L$2:L40)</f>
        <v>57275385.139999993</v>
      </c>
      <c r="Q40" s="4">
        <f t="shared" si="0"/>
        <v>0.61572792110028085</v>
      </c>
      <c r="R40">
        <f t="shared" si="1"/>
        <v>7971.9445054945054</v>
      </c>
      <c r="S40">
        <f t="shared" si="2"/>
        <v>8624.5283516483505</v>
      </c>
      <c r="T40">
        <v>39</v>
      </c>
      <c r="U40" s="3">
        <f t="shared" si="4"/>
        <v>2403.7047970479707</v>
      </c>
      <c r="V40">
        <f t="shared" si="3"/>
        <v>61.633456334563348</v>
      </c>
    </row>
    <row r="41" spans="1:22" x14ac:dyDescent="0.4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37</v>
      </c>
      <c r="G41" t="s">
        <v>33</v>
      </c>
      <c r="H41" t="s">
        <v>29</v>
      </c>
      <c r="I41" t="s">
        <v>40</v>
      </c>
      <c r="J41" s="3">
        <v>51</v>
      </c>
      <c r="K41">
        <v>5000</v>
      </c>
      <c r="L41">
        <v>671174.72</v>
      </c>
      <c r="M41">
        <v>0</v>
      </c>
      <c r="N41">
        <v>0</v>
      </c>
      <c r="O41" s="3">
        <v>36</v>
      </c>
      <c r="P41">
        <f>SUM($L$2:L41)</f>
        <v>57946559.859999992</v>
      </c>
      <c r="Q41" s="4">
        <f t="shared" si="0"/>
        <v>0.62294325477338519</v>
      </c>
      <c r="R41">
        <f t="shared" si="1"/>
        <v>18643.742222222223</v>
      </c>
      <c r="S41">
        <f t="shared" si="2"/>
        <v>18643.742222222223</v>
      </c>
      <c r="T41">
        <v>40</v>
      </c>
      <c r="U41" s="3">
        <f t="shared" si="4"/>
        <v>2439.7047970479707</v>
      </c>
      <c r="V41">
        <f t="shared" si="3"/>
        <v>60.992619926199268</v>
      </c>
    </row>
    <row r="42" spans="1:22" x14ac:dyDescent="0.45">
      <c r="A42" t="s">
        <v>22</v>
      </c>
      <c r="B42" t="s">
        <v>34</v>
      </c>
      <c r="C42" t="s">
        <v>24</v>
      </c>
      <c r="D42" t="s">
        <v>31</v>
      </c>
      <c r="E42" t="s">
        <v>35</v>
      </c>
      <c r="F42" t="s">
        <v>37</v>
      </c>
      <c r="G42" t="s">
        <v>33</v>
      </c>
      <c r="H42" t="s">
        <v>36</v>
      </c>
      <c r="I42" t="s">
        <v>30</v>
      </c>
      <c r="J42" s="3">
        <v>38</v>
      </c>
      <c r="K42">
        <v>40000</v>
      </c>
      <c r="L42">
        <v>668449.64</v>
      </c>
      <c r="M42">
        <v>0</v>
      </c>
      <c r="N42">
        <v>0</v>
      </c>
      <c r="O42" s="3">
        <v>28</v>
      </c>
      <c r="P42">
        <f>SUM($L$2:L42)</f>
        <v>58615009.499999993</v>
      </c>
      <c r="Q42" s="4">
        <f t="shared" si="0"/>
        <v>0.63012929300239728</v>
      </c>
      <c r="R42">
        <f t="shared" si="1"/>
        <v>23873.201428571429</v>
      </c>
      <c r="S42">
        <f t="shared" si="2"/>
        <v>23873.201428571429</v>
      </c>
      <c r="T42">
        <v>41</v>
      </c>
      <c r="U42" s="3">
        <f t="shared" si="4"/>
        <v>2467.7047970479707</v>
      </c>
      <c r="V42">
        <f t="shared" si="3"/>
        <v>60.187921879218798</v>
      </c>
    </row>
    <row r="43" spans="1:22" x14ac:dyDescent="0.45">
      <c r="A43" t="s">
        <v>38</v>
      </c>
      <c r="B43" t="s">
        <v>34</v>
      </c>
      <c r="C43" t="s">
        <v>24</v>
      </c>
      <c r="D43" t="s">
        <v>25</v>
      </c>
      <c r="E43" t="s">
        <v>35</v>
      </c>
      <c r="F43" t="s">
        <v>27</v>
      </c>
      <c r="G43" t="s">
        <v>28</v>
      </c>
      <c r="H43" t="s">
        <v>36</v>
      </c>
      <c r="I43" t="s">
        <v>30</v>
      </c>
      <c r="J43" s="3">
        <v>27</v>
      </c>
      <c r="K43">
        <v>10000</v>
      </c>
      <c r="L43">
        <v>658863.85</v>
      </c>
      <c r="M43">
        <v>0</v>
      </c>
      <c r="N43">
        <v>0</v>
      </c>
      <c r="O43" s="3">
        <v>50</v>
      </c>
      <c r="P43">
        <f>SUM($L$2:L43)</f>
        <v>59273873.349999994</v>
      </c>
      <c r="Q43" s="4">
        <f t="shared" si="0"/>
        <v>0.63721228105489158</v>
      </c>
      <c r="R43">
        <f t="shared" si="1"/>
        <v>13177.277</v>
      </c>
      <c r="S43">
        <f t="shared" si="2"/>
        <v>13177.277</v>
      </c>
      <c r="T43">
        <v>42</v>
      </c>
      <c r="U43" s="3">
        <f t="shared" si="4"/>
        <v>2517.7047970479707</v>
      </c>
      <c r="V43">
        <f t="shared" si="3"/>
        <v>59.945352310665967</v>
      </c>
    </row>
    <row r="44" spans="1:22" x14ac:dyDescent="0.45">
      <c r="A44" t="s">
        <v>22</v>
      </c>
      <c r="B44" t="s">
        <v>23</v>
      </c>
      <c r="C44" t="s">
        <v>24</v>
      </c>
      <c r="D44" t="s">
        <v>31</v>
      </c>
      <c r="E44" t="s">
        <v>26</v>
      </c>
      <c r="F44" t="s">
        <v>27</v>
      </c>
      <c r="G44" t="s">
        <v>33</v>
      </c>
      <c r="H44" t="s">
        <v>29</v>
      </c>
      <c r="I44" t="s">
        <v>30</v>
      </c>
      <c r="J44" s="3">
        <v>41</v>
      </c>
      <c r="K44">
        <v>0</v>
      </c>
      <c r="L44">
        <v>657101.06999999995</v>
      </c>
      <c r="M44">
        <v>0</v>
      </c>
      <c r="N44">
        <v>0</v>
      </c>
      <c r="O44" s="3">
        <v>48.940959409594093</v>
      </c>
      <c r="P44">
        <f>SUM($L$2:L44)</f>
        <v>59930974.419999994</v>
      </c>
      <c r="Q44" s="4">
        <f t="shared" si="0"/>
        <v>0.64427631868283419</v>
      </c>
      <c r="R44">
        <f t="shared" si="1"/>
        <v>13426.403526351503</v>
      </c>
      <c r="S44">
        <f t="shared" si="2"/>
        <v>13426.403526351503</v>
      </c>
      <c r="T44">
        <v>43</v>
      </c>
      <c r="U44" s="3">
        <f t="shared" si="4"/>
        <v>2566.6457564575649</v>
      </c>
      <c r="V44">
        <f t="shared" si="3"/>
        <v>59.689436196687552</v>
      </c>
    </row>
    <row r="45" spans="1:22" x14ac:dyDescent="0.45">
      <c r="A45" t="s">
        <v>22</v>
      </c>
      <c r="B45" t="s">
        <v>23</v>
      </c>
      <c r="C45" t="s">
        <v>24</v>
      </c>
      <c r="D45" t="s">
        <v>31</v>
      </c>
      <c r="E45" t="s">
        <v>26</v>
      </c>
      <c r="F45" t="s">
        <v>32</v>
      </c>
      <c r="G45" t="s">
        <v>33</v>
      </c>
      <c r="H45" t="s">
        <v>36</v>
      </c>
      <c r="I45" t="s">
        <v>30</v>
      </c>
      <c r="J45" s="3">
        <v>48</v>
      </c>
      <c r="K45">
        <v>5000</v>
      </c>
      <c r="L45">
        <v>619323.69999999995</v>
      </c>
      <c r="M45">
        <v>55572.45</v>
      </c>
      <c r="N45">
        <v>1</v>
      </c>
      <c r="O45" s="3">
        <v>45</v>
      </c>
      <c r="P45">
        <f>SUM($L$2:L45)</f>
        <v>60550298.119999997</v>
      </c>
      <c r="Q45" s="4">
        <f t="shared" si="0"/>
        <v>0.65093423802038264</v>
      </c>
      <c r="R45">
        <f t="shared" si="1"/>
        <v>13762.748888888887</v>
      </c>
      <c r="S45">
        <f t="shared" si="2"/>
        <v>14997.69222222222</v>
      </c>
      <c r="T45">
        <v>44</v>
      </c>
      <c r="U45" s="3">
        <f t="shared" si="4"/>
        <v>2611.6457564575649</v>
      </c>
      <c r="V45">
        <f t="shared" si="3"/>
        <v>59.355585374035563</v>
      </c>
    </row>
    <row r="46" spans="1:22" x14ac:dyDescent="0.45">
      <c r="A46" t="s">
        <v>38</v>
      </c>
      <c r="B46" t="s">
        <v>23</v>
      </c>
      <c r="C46" t="s">
        <v>24</v>
      </c>
      <c r="D46" t="s">
        <v>31</v>
      </c>
      <c r="E46" t="s">
        <v>26</v>
      </c>
      <c r="F46" t="s">
        <v>27</v>
      </c>
      <c r="G46" t="s">
        <v>33</v>
      </c>
      <c r="H46" t="s">
        <v>36</v>
      </c>
      <c r="I46" t="s">
        <v>30</v>
      </c>
      <c r="J46" s="3">
        <v>50</v>
      </c>
      <c r="K46">
        <v>5000</v>
      </c>
      <c r="L46">
        <v>615785.52</v>
      </c>
      <c r="M46">
        <v>0</v>
      </c>
      <c r="N46">
        <v>0</v>
      </c>
      <c r="O46" s="3">
        <v>72</v>
      </c>
      <c r="P46">
        <f>SUM($L$2:L46)</f>
        <v>61166083.640000001</v>
      </c>
      <c r="Q46" s="4">
        <f t="shared" si="0"/>
        <v>0.65755412083996512</v>
      </c>
      <c r="R46">
        <f t="shared" si="1"/>
        <v>8552.5766666666677</v>
      </c>
      <c r="S46">
        <f t="shared" si="2"/>
        <v>8552.5766666666677</v>
      </c>
      <c r="T46">
        <v>45</v>
      </c>
      <c r="U46" s="3">
        <f t="shared" si="4"/>
        <v>2683.6457564575649</v>
      </c>
      <c r="V46">
        <f t="shared" si="3"/>
        <v>59.636572365723666</v>
      </c>
    </row>
    <row r="47" spans="1:22" x14ac:dyDescent="0.45">
      <c r="A47" t="s">
        <v>38</v>
      </c>
      <c r="B47" t="s">
        <v>34</v>
      </c>
      <c r="C47" t="s">
        <v>39</v>
      </c>
      <c r="D47" t="s">
        <v>31</v>
      </c>
      <c r="E47" t="s">
        <v>26</v>
      </c>
      <c r="F47" t="s">
        <v>27</v>
      </c>
      <c r="G47" t="s">
        <v>33</v>
      </c>
      <c r="H47" t="s">
        <v>36</v>
      </c>
      <c r="I47" t="s">
        <v>30</v>
      </c>
      <c r="J47" s="3">
        <v>33</v>
      </c>
      <c r="K47">
        <v>0</v>
      </c>
      <c r="L47">
        <v>580636.62</v>
      </c>
      <c r="M47">
        <v>0</v>
      </c>
      <c r="N47">
        <v>0</v>
      </c>
      <c r="O47" s="3">
        <v>48.940959409594093</v>
      </c>
      <c r="P47">
        <f>SUM($L$2:L47)</f>
        <v>61746720.259999998</v>
      </c>
      <c r="Q47" s="4">
        <f t="shared" si="0"/>
        <v>0.66379614222617511</v>
      </c>
      <c r="R47">
        <f t="shared" si="1"/>
        <v>11864.022017643068</v>
      </c>
      <c r="S47">
        <f t="shared" si="2"/>
        <v>11864.022017643068</v>
      </c>
      <c r="T47">
        <v>46</v>
      </c>
      <c r="U47" s="3">
        <f t="shared" si="4"/>
        <v>2732.586715867159</v>
      </c>
      <c r="V47">
        <f t="shared" si="3"/>
        <v>59.404059040590411</v>
      </c>
    </row>
    <row r="48" spans="1:22" x14ac:dyDescent="0.45">
      <c r="A48" t="s">
        <v>22</v>
      </c>
      <c r="B48" t="s">
        <v>34</v>
      </c>
      <c r="C48" t="s">
        <v>24</v>
      </c>
      <c r="D48" t="s">
        <v>25</v>
      </c>
      <c r="E48" t="s">
        <v>35</v>
      </c>
      <c r="F48" t="s">
        <v>27</v>
      </c>
      <c r="G48" t="s">
        <v>33</v>
      </c>
      <c r="H48" t="s">
        <v>36</v>
      </c>
      <c r="I48" t="s">
        <v>30</v>
      </c>
      <c r="J48" s="3">
        <v>55</v>
      </c>
      <c r="K48">
        <v>3000</v>
      </c>
      <c r="L48">
        <v>551330.55000000005</v>
      </c>
      <c r="M48">
        <v>0</v>
      </c>
      <c r="N48">
        <v>0</v>
      </c>
      <c r="O48" s="3">
        <v>84</v>
      </c>
      <c r="P48">
        <f>SUM($L$2:L48)</f>
        <v>62298050.809999995</v>
      </c>
      <c r="Q48" s="4">
        <f t="shared" si="0"/>
        <v>0.66972311438988552</v>
      </c>
      <c r="R48">
        <f t="shared" si="1"/>
        <v>6563.4589285714292</v>
      </c>
      <c r="S48">
        <f t="shared" si="2"/>
        <v>6563.4589285714292</v>
      </c>
      <c r="T48">
        <v>47</v>
      </c>
      <c r="U48" s="3">
        <f t="shared" si="4"/>
        <v>2816.586715867159</v>
      </c>
      <c r="V48">
        <f t="shared" si="3"/>
        <v>59.927376933343808</v>
      </c>
    </row>
    <row r="49" spans="1:22" x14ac:dyDescent="0.45">
      <c r="A49" t="s">
        <v>38</v>
      </c>
      <c r="B49" t="s">
        <v>34</v>
      </c>
      <c r="C49" t="s">
        <v>39</v>
      </c>
      <c r="D49" t="s">
        <v>31</v>
      </c>
      <c r="E49" t="s">
        <v>35</v>
      </c>
      <c r="F49" t="s">
        <v>37</v>
      </c>
      <c r="G49" t="s">
        <v>33</v>
      </c>
      <c r="H49" t="s">
        <v>36</v>
      </c>
      <c r="I49" t="s">
        <v>30</v>
      </c>
      <c r="J49" s="3">
        <v>45</v>
      </c>
      <c r="K49">
        <v>15000</v>
      </c>
      <c r="L49">
        <v>545300.79</v>
      </c>
      <c r="M49">
        <v>10000</v>
      </c>
      <c r="N49">
        <v>1</v>
      </c>
      <c r="O49" s="3">
        <v>61</v>
      </c>
      <c r="P49">
        <f>SUM($L$2:L49)</f>
        <v>62843351.599999994</v>
      </c>
      <c r="Q49" s="4">
        <f t="shared" si="0"/>
        <v>0.6755852647880074</v>
      </c>
      <c r="R49">
        <f t="shared" si="1"/>
        <v>8939.3572131147539</v>
      </c>
      <c r="S49">
        <f t="shared" si="2"/>
        <v>9103.2916393442629</v>
      </c>
      <c r="T49">
        <v>48</v>
      </c>
      <c r="U49" s="3">
        <f t="shared" si="4"/>
        <v>2877.586715867159</v>
      </c>
      <c r="V49">
        <f t="shared" si="3"/>
        <v>59.949723247232477</v>
      </c>
    </row>
    <row r="50" spans="1:22" x14ac:dyDescent="0.45">
      <c r="A50" t="s">
        <v>22</v>
      </c>
      <c r="B50" t="s">
        <v>23</v>
      </c>
      <c r="C50" t="s">
        <v>24</v>
      </c>
      <c r="D50" t="s">
        <v>31</v>
      </c>
      <c r="E50" t="s">
        <v>26</v>
      </c>
      <c r="F50" t="s">
        <v>27</v>
      </c>
      <c r="G50" t="s">
        <v>33</v>
      </c>
      <c r="H50" t="s">
        <v>36</v>
      </c>
      <c r="I50" t="s">
        <v>30</v>
      </c>
      <c r="J50" s="3">
        <v>59</v>
      </c>
      <c r="K50">
        <v>5000</v>
      </c>
      <c r="L50">
        <v>527521.48</v>
      </c>
      <c r="M50">
        <v>0</v>
      </c>
      <c r="N50">
        <v>0</v>
      </c>
      <c r="O50" s="3">
        <v>10</v>
      </c>
      <c r="P50">
        <f>SUM($L$2:L50)</f>
        <v>63370873.079999991</v>
      </c>
      <c r="Q50" s="4">
        <f t="shared" si="0"/>
        <v>0.68125628216173961</v>
      </c>
      <c r="R50">
        <f t="shared" si="1"/>
        <v>52752.148000000001</v>
      </c>
      <c r="S50">
        <f t="shared" si="2"/>
        <v>52752.148000000001</v>
      </c>
      <c r="T50">
        <v>49</v>
      </c>
      <c r="U50" s="3">
        <f t="shared" si="4"/>
        <v>2887.586715867159</v>
      </c>
      <c r="V50">
        <f t="shared" si="3"/>
        <v>58.930341140146105</v>
      </c>
    </row>
    <row r="51" spans="1:22" x14ac:dyDescent="0.45">
      <c r="A51" t="s">
        <v>22</v>
      </c>
      <c r="B51" t="s">
        <v>23</v>
      </c>
      <c r="C51" t="s">
        <v>24</v>
      </c>
      <c r="D51" t="s">
        <v>31</v>
      </c>
      <c r="E51" t="s">
        <v>35</v>
      </c>
      <c r="F51" t="s">
        <v>27</v>
      </c>
      <c r="G51" t="s">
        <v>33</v>
      </c>
      <c r="H51" t="s">
        <v>29</v>
      </c>
      <c r="I51" t="s">
        <v>30</v>
      </c>
      <c r="J51" s="3">
        <v>34</v>
      </c>
      <c r="K51">
        <v>0</v>
      </c>
      <c r="L51">
        <v>521964.28</v>
      </c>
      <c r="M51">
        <v>0</v>
      </c>
      <c r="N51">
        <v>0</v>
      </c>
      <c r="O51" s="3">
        <v>86</v>
      </c>
      <c r="P51">
        <f>SUM($L$2:L51)</f>
        <v>63892837.359999992</v>
      </c>
      <c r="Q51" s="4">
        <f t="shared" si="0"/>
        <v>0.68686755793452448</v>
      </c>
      <c r="R51">
        <f t="shared" si="1"/>
        <v>6069.3520930232562</v>
      </c>
      <c r="S51">
        <f t="shared" si="2"/>
        <v>6069.3520930232562</v>
      </c>
      <c r="T51">
        <v>50</v>
      </c>
      <c r="U51" s="3">
        <f t="shared" si="4"/>
        <v>2973.586715867159</v>
      </c>
      <c r="V51">
        <f t="shared" si="3"/>
        <v>59.471734317343177</v>
      </c>
    </row>
    <row r="52" spans="1:22" x14ac:dyDescent="0.45">
      <c r="A52" t="s">
        <v>22</v>
      </c>
      <c r="B52" t="s">
        <v>23</v>
      </c>
      <c r="C52" t="s">
        <v>24</v>
      </c>
      <c r="D52" t="s">
        <v>31</v>
      </c>
      <c r="E52" t="s">
        <v>26</v>
      </c>
      <c r="F52" t="s">
        <v>27</v>
      </c>
      <c r="G52" t="s">
        <v>33</v>
      </c>
      <c r="H52" t="s">
        <v>36</v>
      </c>
      <c r="I52" t="s">
        <v>30</v>
      </c>
      <c r="J52" s="3">
        <v>55</v>
      </c>
      <c r="K52">
        <v>4000</v>
      </c>
      <c r="L52">
        <v>504384.21</v>
      </c>
      <c r="M52">
        <v>0</v>
      </c>
      <c r="N52">
        <v>0</v>
      </c>
      <c r="O52" s="3">
        <v>86</v>
      </c>
      <c r="P52">
        <f>SUM($L$2:L52)</f>
        <v>64397221.569999993</v>
      </c>
      <c r="Q52" s="4">
        <f t="shared" si="0"/>
        <v>0.69228984257390302</v>
      </c>
      <c r="R52">
        <f t="shared" si="1"/>
        <v>5864.9326744186046</v>
      </c>
      <c r="S52">
        <f t="shared" si="2"/>
        <v>5864.9326744186046</v>
      </c>
      <c r="T52">
        <v>51</v>
      </c>
      <c r="U52" s="3">
        <f t="shared" si="4"/>
        <v>3059.586715867159</v>
      </c>
      <c r="V52">
        <f t="shared" si="3"/>
        <v>59.991896389552139</v>
      </c>
    </row>
    <row r="53" spans="1:22" x14ac:dyDescent="0.45">
      <c r="A53" t="s">
        <v>22</v>
      </c>
      <c r="B53" t="s">
        <v>34</v>
      </c>
      <c r="C53" t="s">
        <v>24</v>
      </c>
      <c r="D53" t="s">
        <v>25</v>
      </c>
      <c r="E53" t="s">
        <v>26</v>
      </c>
      <c r="F53" t="s">
        <v>27</v>
      </c>
      <c r="G53" t="s">
        <v>33</v>
      </c>
      <c r="H53" t="s">
        <v>29</v>
      </c>
      <c r="I53" t="s">
        <v>40</v>
      </c>
      <c r="J53" s="3">
        <v>49</v>
      </c>
      <c r="K53">
        <v>0</v>
      </c>
      <c r="L53">
        <v>499777.74</v>
      </c>
      <c r="M53">
        <v>0</v>
      </c>
      <c r="N53">
        <v>0</v>
      </c>
      <c r="O53" s="3">
        <v>84</v>
      </c>
      <c r="P53">
        <f>SUM($L$2:L53)</f>
        <v>64896999.309999995</v>
      </c>
      <c r="Q53" s="4">
        <f t="shared" si="0"/>
        <v>0.69766260625083354</v>
      </c>
      <c r="R53">
        <f t="shared" si="1"/>
        <v>5949.7349999999997</v>
      </c>
      <c r="S53">
        <f t="shared" si="2"/>
        <v>5949.7349999999997</v>
      </c>
      <c r="T53">
        <v>52</v>
      </c>
      <c r="U53" s="3">
        <f t="shared" si="4"/>
        <v>3143.586715867159</v>
      </c>
      <c r="V53">
        <f t="shared" si="3"/>
        <v>60.453590689753057</v>
      </c>
    </row>
    <row r="54" spans="1:22" x14ac:dyDescent="0.45">
      <c r="A54" t="s">
        <v>38</v>
      </c>
      <c r="B54" t="s">
        <v>34</v>
      </c>
      <c r="C54" t="s">
        <v>24</v>
      </c>
      <c r="D54" t="s">
        <v>31</v>
      </c>
      <c r="E54" t="s">
        <v>35</v>
      </c>
      <c r="F54" t="s">
        <v>27</v>
      </c>
      <c r="G54" t="s">
        <v>33</v>
      </c>
      <c r="H54" t="s">
        <v>36</v>
      </c>
      <c r="I54" t="s">
        <v>30</v>
      </c>
      <c r="J54" s="3">
        <v>42</v>
      </c>
      <c r="K54">
        <v>10000</v>
      </c>
      <c r="L54">
        <v>444361.68</v>
      </c>
      <c r="M54">
        <v>60915.7</v>
      </c>
      <c r="N54">
        <v>2</v>
      </c>
      <c r="O54" s="3">
        <v>78</v>
      </c>
      <c r="P54">
        <f>SUM($L$2:L54)</f>
        <v>65341360.989999995</v>
      </c>
      <c r="Q54" s="4">
        <f t="shared" si="0"/>
        <v>0.70243963032102086</v>
      </c>
      <c r="R54">
        <f t="shared" si="1"/>
        <v>5696.9446153846156</v>
      </c>
      <c r="S54">
        <f t="shared" si="2"/>
        <v>6477.915128205128</v>
      </c>
      <c r="T54">
        <v>53</v>
      </c>
      <c r="U54" s="3">
        <f t="shared" si="4"/>
        <v>3221.586715867159</v>
      </c>
      <c r="V54">
        <f t="shared" si="3"/>
        <v>60.784655016361491</v>
      </c>
    </row>
    <row r="55" spans="1:22" x14ac:dyDescent="0.45">
      <c r="A55" t="s">
        <v>22</v>
      </c>
      <c r="B55" t="s">
        <v>23</v>
      </c>
      <c r="C55" t="s">
        <v>24</v>
      </c>
      <c r="D55" t="s">
        <v>31</v>
      </c>
      <c r="E55" t="s">
        <v>26</v>
      </c>
      <c r="F55" t="s">
        <v>27</v>
      </c>
      <c r="G55" t="s">
        <v>33</v>
      </c>
      <c r="H55" t="s">
        <v>36</v>
      </c>
      <c r="I55" t="s">
        <v>30</v>
      </c>
      <c r="J55" s="3">
        <v>65</v>
      </c>
      <c r="K55">
        <v>2000</v>
      </c>
      <c r="L55">
        <v>440395.17</v>
      </c>
      <c r="M55">
        <v>0</v>
      </c>
      <c r="N55">
        <v>0</v>
      </c>
      <c r="O55" s="3">
        <v>91</v>
      </c>
      <c r="P55">
        <f>SUM($L$2:L55)</f>
        <v>65781756.159999996</v>
      </c>
      <c r="Q55" s="4">
        <f t="shared" si="0"/>
        <v>0.70717401319463902</v>
      </c>
      <c r="R55">
        <f t="shared" si="1"/>
        <v>4839.5073626373623</v>
      </c>
      <c r="S55">
        <f t="shared" si="2"/>
        <v>4839.5073626373623</v>
      </c>
      <c r="T55">
        <v>54</v>
      </c>
      <c r="U55" s="3">
        <f t="shared" si="4"/>
        <v>3312.586715867159</v>
      </c>
      <c r="V55">
        <f t="shared" si="3"/>
        <v>61.344198441984425</v>
      </c>
    </row>
    <row r="56" spans="1:22" x14ac:dyDescent="0.45">
      <c r="A56" t="s">
        <v>38</v>
      </c>
      <c r="B56" t="s">
        <v>34</v>
      </c>
      <c r="C56" t="s">
        <v>24</v>
      </c>
      <c r="D56" t="s">
        <v>31</v>
      </c>
      <c r="E56" t="s">
        <v>35</v>
      </c>
      <c r="F56" t="s">
        <v>27</v>
      </c>
      <c r="G56" t="s">
        <v>33</v>
      </c>
      <c r="H56" t="s">
        <v>29</v>
      </c>
      <c r="I56" t="s">
        <v>30</v>
      </c>
      <c r="J56" s="3">
        <v>30</v>
      </c>
      <c r="K56">
        <v>0</v>
      </c>
      <c r="L56">
        <v>434722.53</v>
      </c>
      <c r="M56">
        <v>500776.34</v>
      </c>
      <c r="N56">
        <v>10</v>
      </c>
      <c r="O56" s="3">
        <v>91</v>
      </c>
      <c r="P56">
        <f>SUM($L$2:L56)</f>
        <v>66216478.689999998</v>
      </c>
      <c r="Q56" s="4">
        <f t="shared" si="0"/>
        <v>0.71184741345197611</v>
      </c>
      <c r="R56">
        <f t="shared" si="1"/>
        <v>4777.1706593406598</v>
      </c>
      <c r="S56">
        <f t="shared" si="2"/>
        <v>10280.207362637364</v>
      </c>
      <c r="T56">
        <v>55</v>
      </c>
      <c r="U56" s="3">
        <f t="shared" si="4"/>
        <v>3403.586715867159</v>
      </c>
      <c r="V56">
        <f t="shared" si="3"/>
        <v>61.883394833948344</v>
      </c>
    </row>
    <row r="57" spans="1:22" x14ac:dyDescent="0.45">
      <c r="A57" t="s">
        <v>22</v>
      </c>
      <c r="B57" t="s">
        <v>34</v>
      </c>
      <c r="C57" t="s">
        <v>24</v>
      </c>
      <c r="D57" t="s">
        <v>31</v>
      </c>
      <c r="E57" t="s">
        <v>26</v>
      </c>
      <c r="F57" t="s">
        <v>32</v>
      </c>
      <c r="G57" t="s">
        <v>33</v>
      </c>
      <c r="H57" t="s">
        <v>36</v>
      </c>
      <c r="I57" t="s">
        <v>40</v>
      </c>
      <c r="J57" s="3">
        <v>39</v>
      </c>
      <c r="K57">
        <v>10000</v>
      </c>
      <c r="L57">
        <v>431700.1</v>
      </c>
      <c r="M57">
        <v>0</v>
      </c>
      <c r="N57">
        <v>0</v>
      </c>
      <c r="O57" s="3">
        <v>35</v>
      </c>
      <c r="P57">
        <f>SUM($L$2:L57)</f>
        <v>66648178.789999999</v>
      </c>
      <c r="Q57" s="4">
        <f t="shared" si="0"/>
        <v>0.71648832166170806</v>
      </c>
      <c r="R57">
        <f t="shared" si="1"/>
        <v>12334.288571428571</v>
      </c>
      <c r="S57">
        <f t="shared" si="2"/>
        <v>12334.288571428571</v>
      </c>
      <c r="T57">
        <v>56</v>
      </c>
      <c r="U57" s="3">
        <f t="shared" si="4"/>
        <v>3438.586715867159</v>
      </c>
      <c r="V57">
        <f t="shared" si="3"/>
        <v>61.403334211913553</v>
      </c>
    </row>
    <row r="58" spans="1:22" x14ac:dyDescent="0.45">
      <c r="A58" t="s">
        <v>22</v>
      </c>
      <c r="B58" t="s">
        <v>23</v>
      </c>
      <c r="C58" t="s">
        <v>24</v>
      </c>
      <c r="D58" t="s">
        <v>31</v>
      </c>
      <c r="E58" t="s">
        <v>26</v>
      </c>
      <c r="F58" t="s">
        <v>27</v>
      </c>
      <c r="G58" t="s">
        <v>33</v>
      </c>
      <c r="H58" t="s">
        <v>29</v>
      </c>
      <c r="I58" t="s">
        <v>30</v>
      </c>
      <c r="J58" s="3">
        <v>54</v>
      </c>
      <c r="K58">
        <v>12000</v>
      </c>
      <c r="L58">
        <v>426292.06</v>
      </c>
      <c r="M58">
        <v>770772.25999999978</v>
      </c>
      <c r="N58">
        <v>20</v>
      </c>
      <c r="O58" s="3">
        <v>92</v>
      </c>
      <c r="P58">
        <f>SUM($L$2:L58)</f>
        <v>67074470.850000001</v>
      </c>
      <c r="Q58" s="4">
        <f t="shared" si="0"/>
        <v>0.72107109178614759</v>
      </c>
      <c r="R58">
        <f t="shared" si="1"/>
        <v>4633.6093478260873</v>
      </c>
      <c r="S58">
        <f t="shared" si="2"/>
        <v>13011.568695652171</v>
      </c>
      <c r="T58">
        <v>57</v>
      </c>
      <c r="U58" s="3">
        <f t="shared" si="4"/>
        <v>3530.586715867159</v>
      </c>
      <c r="V58">
        <f t="shared" si="3"/>
        <v>61.94011782223086</v>
      </c>
    </row>
    <row r="59" spans="1:22" x14ac:dyDescent="0.45">
      <c r="A59" t="s">
        <v>38</v>
      </c>
      <c r="B59" t="s">
        <v>34</v>
      </c>
      <c r="C59" t="s">
        <v>39</v>
      </c>
      <c r="D59" t="s">
        <v>31</v>
      </c>
      <c r="E59" t="s">
        <v>26</v>
      </c>
      <c r="F59" t="s">
        <v>32</v>
      </c>
      <c r="G59" t="s">
        <v>33</v>
      </c>
      <c r="H59" t="s">
        <v>29</v>
      </c>
      <c r="I59" t="s">
        <v>30</v>
      </c>
      <c r="J59" s="3">
        <v>42</v>
      </c>
      <c r="K59">
        <v>15000</v>
      </c>
      <c r="L59">
        <v>423791.34</v>
      </c>
      <c r="M59">
        <v>0</v>
      </c>
      <c r="N59">
        <v>0</v>
      </c>
      <c r="O59" s="3">
        <v>18</v>
      </c>
      <c r="P59">
        <f>SUM($L$2:L59)</f>
        <v>67498262.189999998</v>
      </c>
      <c r="Q59" s="4">
        <f t="shared" si="0"/>
        <v>0.72562697840516677</v>
      </c>
      <c r="R59">
        <f t="shared" si="1"/>
        <v>23543.963333333333</v>
      </c>
      <c r="S59">
        <f t="shared" si="2"/>
        <v>23543.963333333333</v>
      </c>
      <c r="T59">
        <v>58</v>
      </c>
      <c r="U59" s="3">
        <f t="shared" si="4"/>
        <v>3548.586715867159</v>
      </c>
      <c r="V59">
        <f t="shared" si="3"/>
        <v>61.182529583916534</v>
      </c>
    </row>
    <row r="60" spans="1:22" x14ac:dyDescent="0.45">
      <c r="A60" t="s">
        <v>38</v>
      </c>
      <c r="B60" t="s">
        <v>34</v>
      </c>
      <c r="C60" t="s">
        <v>24</v>
      </c>
      <c r="D60" t="s">
        <v>25</v>
      </c>
      <c r="E60" t="s">
        <v>26</v>
      </c>
      <c r="F60" t="s">
        <v>32</v>
      </c>
      <c r="G60" t="s">
        <v>33</v>
      </c>
      <c r="H60" t="s">
        <v>29</v>
      </c>
      <c r="I60" t="s">
        <v>30</v>
      </c>
      <c r="J60" s="3">
        <v>62</v>
      </c>
      <c r="K60">
        <v>6000</v>
      </c>
      <c r="L60">
        <v>420288.49</v>
      </c>
      <c r="M60">
        <v>0</v>
      </c>
      <c r="N60">
        <v>0</v>
      </c>
      <c r="O60" s="3">
        <v>58</v>
      </c>
      <c r="P60">
        <f>SUM($L$2:L60)</f>
        <v>67918550.679999992</v>
      </c>
      <c r="Q60" s="4">
        <f t="shared" si="0"/>
        <v>0.730145208314534</v>
      </c>
      <c r="R60">
        <f t="shared" si="1"/>
        <v>7246.3532758620686</v>
      </c>
      <c r="S60">
        <f t="shared" si="2"/>
        <v>7246.3532758620686</v>
      </c>
      <c r="T60">
        <v>59</v>
      </c>
      <c r="U60" s="3">
        <f t="shared" si="4"/>
        <v>3606.586715867159</v>
      </c>
      <c r="V60">
        <f t="shared" si="3"/>
        <v>61.128588404528116</v>
      </c>
    </row>
    <row r="61" spans="1:22" x14ac:dyDescent="0.45">
      <c r="A61" t="s">
        <v>41</v>
      </c>
      <c r="B61" t="s">
        <v>23</v>
      </c>
      <c r="C61" t="s">
        <v>24</v>
      </c>
      <c r="D61" t="s">
        <v>31</v>
      </c>
      <c r="E61" t="s">
        <v>35</v>
      </c>
      <c r="F61" t="s">
        <v>27</v>
      </c>
      <c r="G61" t="s">
        <v>33</v>
      </c>
      <c r="H61" t="s">
        <v>36</v>
      </c>
      <c r="I61" t="s">
        <v>40</v>
      </c>
      <c r="J61" s="3">
        <v>52</v>
      </c>
      <c r="K61">
        <v>5500</v>
      </c>
      <c r="L61">
        <v>410577.81</v>
      </c>
      <c r="M61">
        <v>0</v>
      </c>
      <c r="N61">
        <v>0</v>
      </c>
      <c r="O61" s="3">
        <v>51</v>
      </c>
      <c r="P61">
        <f>SUM($L$2:L61)</f>
        <v>68329128.489999995</v>
      </c>
      <c r="Q61" s="4">
        <f t="shared" si="0"/>
        <v>0.73455904544165707</v>
      </c>
      <c r="R61">
        <f t="shared" si="1"/>
        <v>8050.5452941176472</v>
      </c>
      <c r="S61">
        <f t="shared" si="2"/>
        <v>8050.5452941176472</v>
      </c>
      <c r="T61">
        <v>60</v>
      </c>
      <c r="U61" s="3">
        <f t="shared" si="4"/>
        <v>3657.586715867159</v>
      </c>
      <c r="V61">
        <f t="shared" si="3"/>
        <v>60.959778597785984</v>
      </c>
    </row>
    <row r="62" spans="1:22" x14ac:dyDescent="0.45">
      <c r="A62" t="s">
        <v>22</v>
      </c>
      <c r="B62" t="s">
        <v>34</v>
      </c>
      <c r="C62" t="s">
        <v>24</v>
      </c>
      <c r="D62" t="s">
        <v>31</v>
      </c>
      <c r="E62" t="s">
        <v>35</v>
      </c>
      <c r="F62" t="s">
        <v>27</v>
      </c>
      <c r="G62" t="s">
        <v>33</v>
      </c>
      <c r="H62" t="s">
        <v>36</v>
      </c>
      <c r="I62" t="s">
        <v>40</v>
      </c>
      <c r="J62" s="3">
        <v>30</v>
      </c>
      <c r="K62">
        <v>16000</v>
      </c>
      <c r="L62">
        <v>410370.15</v>
      </c>
      <c r="M62">
        <v>64133.27</v>
      </c>
      <c r="N62">
        <v>3</v>
      </c>
      <c r="O62" s="3">
        <v>42</v>
      </c>
      <c r="P62">
        <f>SUM($L$2:L62)</f>
        <v>68739498.640000001</v>
      </c>
      <c r="Q62" s="4">
        <f t="shared" si="0"/>
        <v>0.73897065016021968</v>
      </c>
      <c r="R62">
        <f t="shared" si="1"/>
        <v>9770.7178571428576</v>
      </c>
      <c r="S62">
        <f t="shared" si="2"/>
        <v>11297.700476190477</v>
      </c>
      <c r="T62">
        <v>61</v>
      </c>
      <c r="U62" s="3">
        <f t="shared" si="4"/>
        <v>3699.586715867159</v>
      </c>
      <c r="V62">
        <f t="shared" si="3"/>
        <v>60.648962555199326</v>
      </c>
    </row>
    <row r="63" spans="1:22" x14ac:dyDescent="0.45">
      <c r="A63" t="s">
        <v>22</v>
      </c>
      <c r="B63" t="s">
        <v>34</v>
      </c>
      <c r="C63" t="s">
        <v>24</v>
      </c>
      <c r="D63" t="s">
        <v>31</v>
      </c>
      <c r="E63" t="s">
        <v>35</v>
      </c>
      <c r="F63" t="s">
        <v>32</v>
      </c>
      <c r="G63" t="s">
        <v>33</v>
      </c>
      <c r="H63" t="s">
        <v>36</v>
      </c>
      <c r="I63" t="s">
        <v>30</v>
      </c>
      <c r="J63" s="3">
        <v>56</v>
      </c>
      <c r="K63">
        <v>4000</v>
      </c>
      <c r="L63">
        <v>406082.13</v>
      </c>
      <c r="M63">
        <v>0</v>
      </c>
      <c r="N63">
        <v>0</v>
      </c>
      <c r="O63" s="3">
        <v>84</v>
      </c>
      <c r="P63">
        <f>SUM($L$2:L63)</f>
        <v>69145580.769999996</v>
      </c>
      <c r="Q63" s="4">
        <f t="shared" si="0"/>
        <v>0.74333615735130532</v>
      </c>
      <c r="R63">
        <f t="shared" si="1"/>
        <v>4834.3110714285713</v>
      </c>
      <c r="S63">
        <f t="shared" si="2"/>
        <v>4834.3110714285713</v>
      </c>
      <c r="T63">
        <v>62</v>
      </c>
      <c r="U63" s="3">
        <f t="shared" si="4"/>
        <v>3783.586715867159</v>
      </c>
      <c r="V63">
        <f t="shared" si="3"/>
        <v>61.025592191405792</v>
      </c>
    </row>
    <row r="64" spans="1:22" x14ac:dyDescent="0.45">
      <c r="A64" t="s">
        <v>38</v>
      </c>
      <c r="B64" t="s">
        <v>34</v>
      </c>
      <c r="C64" t="s">
        <v>24</v>
      </c>
      <c r="D64" t="s">
        <v>31</v>
      </c>
      <c r="E64" t="s">
        <v>35</v>
      </c>
      <c r="F64" t="s">
        <v>32</v>
      </c>
      <c r="G64" t="s">
        <v>33</v>
      </c>
      <c r="H64" t="s">
        <v>29</v>
      </c>
      <c r="I64" t="s">
        <v>30</v>
      </c>
      <c r="J64" s="3">
        <v>36</v>
      </c>
      <c r="K64">
        <v>0</v>
      </c>
      <c r="L64">
        <v>405574.99</v>
      </c>
      <c r="M64">
        <v>20000</v>
      </c>
      <c r="N64">
        <v>1</v>
      </c>
      <c r="O64" s="3">
        <v>48.940959409594093</v>
      </c>
      <c r="P64">
        <f>SUM($L$2:L64)</f>
        <v>69551155.75999999</v>
      </c>
      <c r="Q64" s="4">
        <f t="shared" si="0"/>
        <v>0.74769621263216568</v>
      </c>
      <c r="R64">
        <f t="shared" si="1"/>
        <v>8287.0257324888789</v>
      </c>
      <c r="S64">
        <f t="shared" si="2"/>
        <v>8695.6813910879901</v>
      </c>
      <c r="T64">
        <v>63</v>
      </c>
      <c r="U64" s="3">
        <f t="shared" si="4"/>
        <v>3832.5276752767531</v>
      </c>
      <c r="V64">
        <f t="shared" si="3"/>
        <v>60.833772623440524</v>
      </c>
    </row>
    <row r="65" spans="1:22" x14ac:dyDescent="0.45">
      <c r="A65" t="s">
        <v>22</v>
      </c>
      <c r="B65" t="s">
        <v>34</v>
      </c>
      <c r="C65" t="s">
        <v>24</v>
      </c>
      <c r="D65" t="s">
        <v>25</v>
      </c>
      <c r="E65" t="s">
        <v>35</v>
      </c>
      <c r="F65" t="s">
        <v>32</v>
      </c>
      <c r="G65" t="s">
        <v>33</v>
      </c>
      <c r="H65" t="s">
        <v>29</v>
      </c>
      <c r="I65" t="s">
        <v>30</v>
      </c>
      <c r="J65" s="3">
        <v>31</v>
      </c>
      <c r="K65">
        <v>20000</v>
      </c>
      <c r="L65">
        <v>376740.63</v>
      </c>
      <c r="M65">
        <v>0</v>
      </c>
      <c r="N65">
        <v>0</v>
      </c>
      <c r="O65" s="3">
        <v>14</v>
      </c>
      <c r="P65">
        <f>SUM($L$2:L65)</f>
        <v>69927896.389999986</v>
      </c>
      <c r="Q65" s="4">
        <f t="shared" si="0"/>
        <v>0.75174628971740731</v>
      </c>
      <c r="R65">
        <f t="shared" si="1"/>
        <v>26910.045000000002</v>
      </c>
      <c r="S65">
        <f t="shared" si="2"/>
        <v>26910.045000000002</v>
      </c>
      <c r="T65">
        <v>64</v>
      </c>
      <c r="U65" s="3">
        <f t="shared" si="4"/>
        <v>3846.5276752767531</v>
      </c>
      <c r="V65">
        <f t="shared" si="3"/>
        <v>60.101994926199268</v>
      </c>
    </row>
    <row r="66" spans="1:22" x14ac:dyDescent="0.45">
      <c r="A66" t="s">
        <v>22</v>
      </c>
      <c r="B66" t="s">
        <v>23</v>
      </c>
      <c r="C66" t="s">
        <v>24</v>
      </c>
      <c r="D66" t="s">
        <v>31</v>
      </c>
      <c r="E66" t="s">
        <v>26</v>
      </c>
      <c r="F66" t="s">
        <v>27</v>
      </c>
      <c r="G66" t="s">
        <v>33</v>
      </c>
      <c r="H66" t="s">
        <v>36</v>
      </c>
      <c r="I66" t="s">
        <v>30</v>
      </c>
      <c r="J66" s="3">
        <v>37</v>
      </c>
      <c r="K66">
        <v>0</v>
      </c>
      <c r="L66">
        <v>371783.52</v>
      </c>
      <c r="M66">
        <v>0</v>
      </c>
      <c r="N66">
        <v>0</v>
      </c>
      <c r="O66" s="3">
        <v>60</v>
      </c>
      <c r="P66">
        <f>SUM($L$2:L66)</f>
        <v>70299679.909999982</v>
      </c>
      <c r="Q66" s="4">
        <f t="shared" ref="Q66:Q129" si="5">P66/$P$267</f>
        <v>0.75574307635287719</v>
      </c>
      <c r="R66">
        <f t="shared" si="1"/>
        <v>6196.3920000000007</v>
      </c>
      <c r="S66">
        <f t="shared" si="2"/>
        <v>6196.3920000000007</v>
      </c>
      <c r="T66">
        <v>65</v>
      </c>
      <c r="U66" s="3">
        <f t="shared" si="4"/>
        <v>3906.5276752767531</v>
      </c>
      <c r="V66">
        <f t="shared" si="3"/>
        <v>60.10042577348851</v>
      </c>
    </row>
    <row r="67" spans="1:22" x14ac:dyDescent="0.45">
      <c r="A67" t="s">
        <v>22</v>
      </c>
      <c r="B67" t="s">
        <v>23</v>
      </c>
      <c r="C67" t="s">
        <v>24</v>
      </c>
      <c r="D67" t="s">
        <v>31</v>
      </c>
      <c r="E67" t="s">
        <v>26</v>
      </c>
      <c r="F67" t="s">
        <v>32</v>
      </c>
      <c r="G67" t="s">
        <v>33</v>
      </c>
      <c r="H67" t="s">
        <v>29</v>
      </c>
      <c r="I67" t="s">
        <v>30</v>
      </c>
      <c r="J67" s="3">
        <v>47</v>
      </c>
      <c r="K67">
        <v>10000</v>
      </c>
      <c r="L67">
        <v>344336.33</v>
      </c>
      <c r="M67">
        <v>0</v>
      </c>
      <c r="N67">
        <v>0</v>
      </c>
      <c r="O67" s="3">
        <v>29</v>
      </c>
      <c r="P67">
        <f>SUM($L$2:L67)</f>
        <v>70644016.23999998</v>
      </c>
      <c r="Q67" s="4">
        <f t="shared" si="5"/>
        <v>0.7594447972948134</v>
      </c>
      <c r="R67">
        <f t="shared" ref="R67:R130" si="6">L67/O67</f>
        <v>11873.666551724138</v>
      </c>
      <c r="S67">
        <f t="shared" ref="S67:S130" si="7">(L67+M67)/O67</f>
        <v>11873.666551724138</v>
      </c>
      <c r="T67">
        <v>66</v>
      </c>
      <c r="U67" s="3">
        <f t="shared" si="4"/>
        <v>3935.5276752767531</v>
      </c>
      <c r="V67">
        <f t="shared" si="3"/>
        <v>59.629207201162927</v>
      </c>
    </row>
    <row r="68" spans="1:22" x14ac:dyDescent="0.45">
      <c r="A68" t="s">
        <v>22</v>
      </c>
      <c r="B68" t="s">
        <v>23</v>
      </c>
      <c r="C68" t="s">
        <v>24</v>
      </c>
      <c r="D68" t="s">
        <v>31</v>
      </c>
      <c r="E68" t="s">
        <v>26</v>
      </c>
      <c r="F68" t="s">
        <v>27</v>
      </c>
      <c r="G68" t="s">
        <v>33</v>
      </c>
      <c r="H68" t="s">
        <v>29</v>
      </c>
      <c r="I68" t="s">
        <v>40</v>
      </c>
      <c r="J68" s="3">
        <v>59</v>
      </c>
      <c r="K68">
        <v>10000</v>
      </c>
      <c r="L68">
        <v>344111.05</v>
      </c>
      <c r="M68">
        <v>0</v>
      </c>
      <c r="N68">
        <v>0</v>
      </c>
      <c r="O68" s="3">
        <v>35</v>
      </c>
      <c r="P68">
        <f>SUM($L$2:L68)</f>
        <v>70988127.289999977</v>
      </c>
      <c r="Q68" s="4">
        <f t="shared" si="5"/>
        <v>0.7631440964077959</v>
      </c>
      <c r="R68">
        <f t="shared" si="6"/>
        <v>9831.7442857142851</v>
      </c>
      <c r="S68">
        <f t="shared" si="7"/>
        <v>9831.7442857142851</v>
      </c>
      <c r="T68">
        <v>67</v>
      </c>
      <c r="U68" s="3">
        <f t="shared" si="4"/>
        <v>3970.5276752767531</v>
      </c>
      <c r="V68">
        <f t="shared" ref="V68:V131" si="8">U68/T68</f>
        <v>59.261607093682883</v>
      </c>
    </row>
    <row r="69" spans="1:22" x14ac:dyDescent="0.45">
      <c r="A69" t="s">
        <v>22</v>
      </c>
      <c r="B69" t="s">
        <v>23</v>
      </c>
      <c r="C69" t="s">
        <v>24</v>
      </c>
      <c r="D69" t="s">
        <v>31</v>
      </c>
      <c r="E69" t="s">
        <v>26</v>
      </c>
      <c r="F69" t="s">
        <v>27</v>
      </c>
      <c r="G69" t="s">
        <v>33</v>
      </c>
      <c r="H69" t="s">
        <v>36</v>
      </c>
      <c r="I69" t="s">
        <v>30</v>
      </c>
      <c r="J69" s="3">
        <v>45</v>
      </c>
      <c r="K69">
        <v>3000</v>
      </c>
      <c r="L69">
        <v>336127.57</v>
      </c>
      <c r="M69">
        <v>190000</v>
      </c>
      <c r="N69">
        <v>3</v>
      </c>
      <c r="O69" s="3">
        <v>73</v>
      </c>
      <c r="P69">
        <f>SUM($L$2:L69)</f>
        <v>71324254.85999997</v>
      </c>
      <c r="Q69" s="4">
        <f t="shared" si="5"/>
        <v>0.76675757066719552</v>
      </c>
      <c r="R69">
        <f t="shared" si="6"/>
        <v>4604.4872602739724</v>
      </c>
      <c r="S69">
        <f t="shared" si="7"/>
        <v>7207.2269863013707</v>
      </c>
      <c r="T69">
        <v>68</v>
      </c>
      <c r="U69" s="3">
        <f t="shared" ref="U69:U132" si="9">O69+U68</f>
        <v>4043.5276752767531</v>
      </c>
      <c r="V69">
        <f t="shared" si="8"/>
        <v>59.463642283481661</v>
      </c>
    </row>
    <row r="70" spans="1:22" x14ac:dyDescent="0.45">
      <c r="A70" t="s">
        <v>22</v>
      </c>
      <c r="B70" t="s">
        <v>34</v>
      </c>
      <c r="C70" t="s">
        <v>24</v>
      </c>
      <c r="D70" t="s">
        <v>31</v>
      </c>
      <c r="E70" t="s">
        <v>35</v>
      </c>
      <c r="F70" t="s">
        <v>27</v>
      </c>
      <c r="G70" t="s">
        <v>33</v>
      </c>
      <c r="H70" t="s">
        <v>36</v>
      </c>
      <c r="I70" t="s">
        <v>40</v>
      </c>
      <c r="J70" s="3">
        <v>31</v>
      </c>
      <c r="K70">
        <v>5000</v>
      </c>
      <c r="L70">
        <v>334823.48</v>
      </c>
      <c r="M70">
        <v>0</v>
      </c>
      <c r="N70">
        <v>0</v>
      </c>
      <c r="O70" s="3">
        <v>67</v>
      </c>
      <c r="P70">
        <f>SUM($L$2:L70)</f>
        <v>71659078.339999974</v>
      </c>
      <c r="Q70" s="4">
        <f t="shared" si="5"/>
        <v>0.77035702555993935</v>
      </c>
      <c r="R70">
        <f t="shared" si="6"/>
        <v>4997.3653731343284</v>
      </c>
      <c r="S70">
        <f t="shared" si="7"/>
        <v>4997.3653731343284</v>
      </c>
      <c r="T70">
        <v>69</v>
      </c>
      <c r="U70" s="3">
        <f t="shared" si="9"/>
        <v>4110.5276752767531</v>
      </c>
      <c r="V70">
        <f t="shared" si="8"/>
        <v>59.572864859083381</v>
      </c>
    </row>
    <row r="71" spans="1:22" x14ac:dyDescent="0.45">
      <c r="A71" t="s">
        <v>38</v>
      </c>
      <c r="B71" t="s">
        <v>34</v>
      </c>
      <c r="C71" t="s">
        <v>39</v>
      </c>
      <c r="D71" t="s">
        <v>31</v>
      </c>
      <c r="E71" t="s">
        <v>26</v>
      </c>
      <c r="F71" t="s">
        <v>27</v>
      </c>
      <c r="G71" t="s">
        <v>33</v>
      </c>
      <c r="H71" t="s">
        <v>36</v>
      </c>
      <c r="I71" t="s">
        <v>30</v>
      </c>
      <c r="J71" s="3">
        <v>43</v>
      </c>
      <c r="K71">
        <v>3000</v>
      </c>
      <c r="L71">
        <v>333882.44</v>
      </c>
      <c r="M71">
        <v>200000</v>
      </c>
      <c r="N71">
        <v>2</v>
      </c>
      <c r="O71" s="3">
        <v>84</v>
      </c>
      <c r="P71">
        <f>SUM($L$2:L71)</f>
        <v>71992960.779999971</v>
      </c>
      <c r="Q71" s="4">
        <f t="shared" si="5"/>
        <v>0.77394636398464978</v>
      </c>
      <c r="R71">
        <f t="shared" si="6"/>
        <v>3974.7909523809526</v>
      </c>
      <c r="S71">
        <f t="shared" si="7"/>
        <v>6355.7433333333329</v>
      </c>
      <c r="T71">
        <v>70</v>
      </c>
      <c r="U71" s="3">
        <f t="shared" si="9"/>
        <v>4194.5276752767531</v>
      </c>
      <c r="V71">
        <f t="shared" si="8"/>
        <v>59.921823932525044</v>
      </c>
    </row>
    <row r="72" spans="1:22" x14ac:dyDescent="0.45">
      <c r="A72" t="s">
        <v>38</v>
      </c>
      <c r="B72" t="s">
        <v>34</v>
      </c>
      <c r="C72" t="s">
        <v>24</v>
      </c>
      <c r="D72" t="s">
        <v>31</v>
      </c>
      <c r="E72" t="s">
        <v>26</v>
      </c>
      <c r="F72" t="s">
        <v>32</v>
      </c>
      <c r="G72" t="s">
        <v>33</v>
      </c>
      <c r="H72" t="s">
        <v>36</v>
      </c>
      <c r="I72" t="s">
        <v>30</v>
      </c>
      <c r="J72" s="3">
        <v>44</v>
      </c>
      <c r="K72">
        <v>8000</v>
      </c>
      <c r="L72">
        <v>333228.49</v>
      </c>
      <c r="M72">
        <v>212960.2</v>
      </c>
      <c r="N72">
        <v>4</v>
      </c>
      <c r="O72" s="3">
        <v>26</v>
      </c>
      <c r="P72">
        <f>SUM($L$2:L72)</f>
        <v>72326189.269999966</v>
      </c>
      <c r="Q72" s="4">
        <f t="shared" si="5"/>
        <v>0.77752867224669908</v>
      </c>
      <c r="R72">
        <f t="shared" si="6"/>
        <v>12816.480384615385</v>
      </c>
      <c r="S72">
        <f t="shared" si="7"/>
        <v>21007.257307692307</v>
      </c>
      <c r="T72">
        <v>71</v>
      </c>
      <c r="U72" s="3">
        <f t="shared" si="9"/>
        <v>4220.5276752767531</v>
      </c>
      <c r="V72">
        <f t="shared" si="8"/>
        <v>59.444051764461314</v>
      </c>
    </row>
    <row r="73" spans="1:22" x14ac:dyDescent="0.45">
      <c r="A73" t="s">
        <v>38</v>
      </c>
      <c r="B73" t="s">
        <v>23</v>
      </c>
      <c r="C73" t="s">
        <v>24</v>
      </c>
      <c r="D73" t="s">
        <v>31</v>
      </c>
      <c r="E73" t="s">
        <v>35</v>
      </c>
      <c r="F73" t="s">
        <v>27</v>
      </c>
      <c r="G73" t="s">
        <v>33</v>
      </c>
      <c r="H73" t="s">
        <v>36</v>
      </c>
      <c r="I73" t="s">
        <v>30</v>
      </c>
      <c r="J73" s="3">
        <v>54</v>
      </c>
      <c r="K73">
        <v>6000</v>
      </c>
      <c r="L73">
        <v>326405.53000000003</v>
      </c>
      <c r="M73">
        <v>209000</v>
      </c>
      <c r="N73">
        <v>4</v>
      </c>
      <c r="O73" s="3">
        <v>87</v>
      </c>
      <c r="P73">
        <f>SUM($L$2:L73)</f>
        <v>72652594.799999967</v>
      </c>
      <c r="Q73" s="4">
        <f t="shared" si="5"/>
        <v>0.78103763160037754</v>
      </c>
      <c r="R73">
        <f t="shared" si="6"/>
        <v>3751.7877011494256</v>
      </c>
      <c r="S73">
        <f t="shared" si="7"/>
        <v>6154.0865517241382</v>
      </c>
      <c r="T73">
        <v>72</v>
      </c>
      <c r="U73" s="3">
        <f t="shared" si="9"/>
        <v>4307.5276752767531</v>
      </c>
      <c r="V73">
        <f t="shared" si="8"/>
        <v>59.826773267732683</v>
      </c>
    </row>
    <row r="74" spans="1:22" x14ac:dyDescent="0.45">
      <c r="A74" t="s">
        <v>43</v>
      </c>
      <c r="B74" t="s">
        <v>23</v>
      </c>
      <c r="C74" t="s">
        <v>24</v>
      </c>
      <c r="D74" t="s">
        <v>31</v>
      </c>
      <c r="E74" t="s">
        <v>35</v>
      </c>
      <c r="F74" t="s">
        <v>27</v>
      </c>
      <c r="G74" t="s">
        <v>28</v>
      </c>
      <c r="H74" t="s">
        <v>36</v>
      </c>
      <c r="I74" t="s">
        <v>30</v>
      </c>
      <c r="J74" s="3">
        <v>27</v>
      </c>
      <c r="K74">
        <v>2500</v>
      </c>
      <c r="L74">
        <v>318786</v>
      </c>
      <c r="M74">
        <v>0</v>
      </c>
      <c r="N74">
        <v>0</v>
      </c>
      <c r="O74" s="3">
        <v>82</v>
      </c>
      <c r="P74">
        <f>SUM($L$2:L74)</f>
        <v>72971380.799999967</v>
      </c>
      <c r="Q74" s="4">
        <f t="shared" si="5"/>
        <v>0.78446467867437075</v>
      </c>
      <c r="R74">
        <f t="shared" si="6"/>
        <v>3887.6341463414633</v>
      </c>
      <c r="S74">
        <f t="shared" si="7"/>
        <v>3887.6341463414633</v>
      </c>
      <c r="T74">
        <v>73</v>
      </c>
      <c r="U74" s="3">
        <f t="shared" si="9"/>
        <v>4389.5276752767531</v>
      </c>
      <c r="V74">
        <f t="shared" si="8"/>
        <v>60.13051609968155</v>
      </c>
    </row>
    <row r="75" spans="1:22" x14ac:dyDescent="0.45">
      <c r="A75" t="s">
        <v>22</v>
      </c>
      <c r="B75" t="s">
        <v>34</v>
      </c>
      <c r="C75" t="s">
        <v>24</v>
      </c>
      <c r="D75" t="s">
        <v>31</v>
      </c>
      <c r="E75" t="s">
        <v>35</v>
      </c>
      <c r="F75" t="s">
        <v>27</v>
      </c>
      <c r="G75" t="s">
        <v>33</v>
      </c>
      <c r="H75" t="s">
        <v>36</v>
      </c>
      <c r="I75" t="s">
        <v>30</v>
      </c>
      <c r="J75" s="3">
        <v>38</v>
      </c>
      <c r="K75">
        <v>5000</v>
      </c>
      <c r="L75">
        <v>305711.45</v>
      </c>
      <c r="M75">
        <v>0</v>
      </c>
      <c r="N75">
        <v>0</v>
      </c>
      <c r="O75" s="3">
        <v>47</v>
      </c>
      <c r="P75">
        <f>SUM($L$2:L75)</f>
        <v>73277092.24999997</v>
      </c>
      <c r="Q75" s="4">
        <f t="shared" si="5"/>
        <v>0.78775117033400688</v>
      </c>
      <c r="R75">
        <f t="shared" si="6"/>
        <v>6504.4989361702128</v>
      </c>
      <c r="S75">
        <f t="shared" si="7"/>
        <v>6504.4989361702128</v>
      </c>
      <c r="T75">
        <v>74</v>
      </c>
      <c r="U75" s="3">
        <f t="shared" si="9"/>
        <v>4436.5276752767531</v>
      </c>
      <c r="V75">
        <f t="shared" si="8"/>
        <v>59.953076692929095</v>
      </c>
    </row>
    <row r="76" spans="1:22" x14ac:dyDescent="0.45">
      <c r="A76" t="s">
        <v>22</v>
      </c>
      <c r="B76" t="s">
        <v>34</v>
      </c>
      <c r="C76" t="s">
        <v>24</v>
      </c>
      <c r="D76" t="s">
        <v>31</v>
      </c>
      <c r="E76" t="s">
        <v>26</v>
      </c>
      <c r="F76" t="s">
        <v>27</v>
      </c>
      <c r="G76" t="s">
        <v>33</v>
      </c>
      <c r="H76" t="s">
        <v>36</v>
      </c>
      <c r="I76" t="s">
        <v>30</v>
      </c>
      <c r="J76" s="3">
        <v>43</v>
      </c>
      <c r="K76">
        <v>3000</v>
      </c>
      <c r="L76">
        <v>305298.94</v>
      </c>
      <c r="M76">
        <v>0</v>
      </c>
      <c r="N76">
        <v>0</v>
      </c>
      <c r="O76" s="3">
        <v>31</v>
      </c>
      <c r="P76">
        <f>SUM($L$2:L76)</f>
        <v>73582391.189999968</v>
      </c>
      <c r="Q76" s="4">
        <f t="shared" si="5"/>
        <v>0.79103322738488191</v>
      </c>
      <c r="R76">
        <f t="shared" si="6"/>
        <v>9848.3529032258066</v>
      </c>
      <c r="S76">
        <f t="shared" si="7"/>
        <v>9848.3529032258066</v>
      </c>
      <c r="T76">
        <v>75</v>
      </c>
      <c r="U76" s="3">
        <f t="shared" si="9"/>
        <v>4467.5276752767531</v>
      </c>
      <c r="V76">
        <f t="shared" si="8"/>
        <v>59.567035670356709</v>
      </c>
    </row>
    <row r="77" spans="1:22" x14ac:dyDescent="0.45">
      <c r="A77" t="s">
        <v>22</v>
      </c>
      <c r="B77" t="s">
        <v>23</v>
      </c>
      <c r="C77" t="s">
        <v>24</v>
      </c>
      <c r="D77" t="s">
        <v>31</v>
      </c>
      <c r="E77" t="s">
        <v>35</v>
      </c>
      <c r="F77" t="s">
        <v>27</v>
      </c>
      <c r="G77" t="s">
        <v>33</v>
      </c>
      <c r="H77" t="s">
        <v>36</v>
      </c>
      <c r="I77" t="s">
        <v>30</v>
      </c>
      <c r="J77" s="3">
        <v>34</v>
      </c>
      <c r="K77">
        <v>13000</v>
      </c>
      <c r="L77">
        <v>304749.5</v>
      </c>
      <c r="M77">
        <v>108007.17</v>
      </c>
      <c r="N77">
        <v>4</v>
      </c>
      <c r="O77" s="3">
        <v>87</v>
      </c>
      <c r="P77">
        <f>SUM($L$2:L77)</f>
        <v>73887140.689999968</v>
      </c>
      <c r="Q77" s="4">
        <f t="shared" si="5"/>
        <v>0.79430937778758437</v>
      </c>
      <c r="R77">
        <f t="shared" si="6"/>
        <v>3502.867816091954</v>
      </c>
      <c r="S77">
        <f t="shared" si="7"/>
        <v>4744.3295402298845</v>
      </c>
      <c r="T77">
        <v>76</v>
      </c>
      <c r="U77" s="3">
        <f t="shared" si="9"/>
        <v>4554.5276752767531</v>
      </c>
      <c r="V77">
        <f t="shared" si="8"/>
        <v>59.927995727325701</v>
      </c>
    </row>
    <row r="78" spans="1:22" x14ac:dyDescent="0.45">
      <c r="A78" t="s">
        <v>38</v>
      </c>
      <c r="B78" t="s">
        <v>34</v>
      </c>
      <c r="C78" t="s">
        <v>24</v>
      </c>
      <c r="D78" t="s">
        <v>31</v>
      </c>
      <c r="E78" t="s">
        <v>26</v>
      </c>
      <c r="F78" t="s">
        <v>27</v>
      </c>
      <c r="G78" t="s">
        <v>33</v>
      </c>
      <c r="H78" t="s">
        <v>36</v>
      </c>
      <c r="I78" t="s">
        <v>30</v>
      </c>
      <c r="J78" s="3">
        <v>51</v>
      </c>
      <c r="K78">
        <v>5000</v>
      </c>
      <c r="L78">
        <v>299905.3</v>
      </c>
      <c r="M78">
        <v>100144.87</v>
      </c>
      <c r="N78">
        <v>2</v>
      </c>
      <c r="O78" s="3">
        <v>43</v>
      </c>
      <c r="P78">
        <f>SUM($L$2:L78)</f>
        <v>74187045.989999965</v>
      </c>
      <c r="Q78" s="4">
        <f t="shared" si="5"/>
        <v>0.79753345155757438</v>
      </c>
      <c r="R78">
        <f t="shared" si="6"/>
        <v>6974.5418604651159</v>
      </c>
      <c r="S78">
        <f t="shared" si="7"/>
        <v>9303.4923255813956</v>
      </c>
      <c r="T78">
        <v>77</v>
      </c>
      <c r="U78" s="3">
        <f t="shared" si="9"/>
        <v>4597.5276752767531</v>
      </c>
      <c r="V78">
        <f t="shared" si="8"/>
        <v>59.708151626970817</v>
      </c>
    </row>
    <row r="79" spans="1:22" x14ac:dyDescent="0.45">
      <c r="A79" t="s">
        <v>22</v>
      </c>
      <c r="B79" t="s">
        <v>34</v>
      </c>
      <c r="C79" t="s">
        <v>24</v>
      </c>
      <c r="D79" t="s">
        <v>31</v>
      </c>
      <c r="E79" t="s">
        <v>26</v>
      </c>
      <c r="F79" t="s">
        <v>27</v>
      </c>
      <c r="G79" t="s">
        <v>33</v>
      </c>
      <c r="H79" t="s">
        <v>36</v>
      </c>
      <c r="I79" t="s">
        <v>30</v>
      </c>
      <c r="J79" s="3">
        <v>57</v>
      </c>
      <c r="K79">
        <v>0</v>
      </c>
      <c r="L79">
        <v>297528.73</v>
      </c>
      <c r="M79">
        <v>0</v>
      </c>
      <c r="N79">
        <v>0</v>
      </c>
      <c r="O79" s="3">
        <v>91</v>
      </c>
      <c r="P79">
        <f>SUM($L$2:L79)</f>
        <v>74484574.719999969</v>
      </c>
      <c r="Q79" s="4">
        <f t="shared" si="5"/>
        <v>0.80073197647264427</v>
      </c>
      <c r="R79">
        <f t="shared" si="6"/>
        <v>3269.5464835164835</v>
      </c>
      <c r="S79">
        <f t="shared" si="7"/>
        <v>3269.5464835164835</v>
      </c>
      <c r="T79">
        <v>78</v>
      </c>
      <c r="U79" s="3">
        <f t="shared" si="9"/>
        <v>4688.5276752767531</v>
      </c>
      <c r="V79">
        <f t="shared" si="8"/>
        <v>60.109329170214785</v>
      </c>
    </row>
    <row r="80" spans="1:22" x14ac:dyDescent="0.45">
      <c r="A80" t="s">
        <v>22</v>
      </c>
      <c r="B80" t="s">
        <v>23</v>
      </c>
      <c r="C80" t="s">
        <v>24</v>
      </c>
      <c r="D80" t="s">
        <v>31</v>
      </c>
      <c r="E80" t="s">
        <v>35</v>
      </c>
      <c r="F80" t="s">
        <v>27</v>
      </c>
      <c r="G80" t="s">
        <v>33</v>
      </c>
      <c r="H80" t="s">
        <v>29</v>
      </c>
      <c r="I80" t="s">
        <v>30</v>
      </c>
      <c r="J80" s="3">
        <v>47</v>
      </c>
      <c r="K80">
        <v>7000</v>
      </c>
      <c r="L80">
        <v>288164.75</v>
      </c>
      <c r="M80">
        <v>259427.07</v>
      </c>
      <c r="N80">
        <v>9</v>
      </c>
      <c r="O80" s="3">
        <v>92</v>
      </c>
      <c r="P80">
        <f>SUM($L$2:L80)</f>
        <v>74772739.469999969</v>
      </c>
      <c r="Q80" s="4">
        <f t="shared" si="5"/>
        <v>0.80382983573658773</v>
      </c>
      <c r="R80">
        <f t="shared" si="6"/>
        <v>3132.225543478261</v>
      </c>
      <c r="S80">
        <f t="shared" si="7"/>
        <v>5952.0850000000009</v>
      </c>
      <c r="T80">
        <v>79</v>
      </c>
      <c r="U80" s="3">
        <f t="shared" si="9"/>
        <v>4780.5276752767531</v>
      </c>
      <c r="V80">
        <f t="shared" si="8"/>
        <v>60.513008547807004</v>
      </c>
    </row>
    <row r="81" spans="1:22" x14ac:dyDescent="0.45">
      <c r="A81" t="s">
        <v>22</v>
      </c>
      <c r="B81" t="s">
        <v>23</v>
      </c>
      <c r="C81" t="s">
        <v>24</v>
      </c>
      <c r="D81" t="s">
        <v>31</v>
      </c>
      <c r="E81" t="s">
        <v>35</v>
      </c>
      <c r="F81" t="s">
        <v>32</v>
      </c>
      <c r="G81" t="s">
        <v>28</v>
      </c>
      <c r="H81" t="s">
        <v>36</v>
      </c>
      <c r="I81" t="s">
        <v>40</v>
      </c>
      <c r="J81" s="3">
        <v>25</v>
      </c>
      <c r="K81">
        <v>19000</v>
      </c>
      <c r="L81">
        <v>278556.42</v>
      </c>
      <c r="M81">
        <v>0</v>
      </c>
      <c r="N81">
        <v>0</v>
      </c>
      <c r="O81" s="3">
        <v>37</v>
      </c>
      <c r="P81">
        <f>SUM($L$2:L81)</f>
        <v>75051295.889999971</v>
      </c>
      <c r="Q81" s="4">
        <f t="shared" si="5"/>
        <v>0.8068244025121144</v>
      </c>
      <c r="R81">
        <f t="shared" si="6"/>
        <v>7528.5518918918915</v>
      </c>
      <c r="S81">
        <f t="shared" si="7"/>
        <v>7528.5518918918915</v>
      </c>
      <c r="T81">
        <v>80</v>
      </c>
      <c r="U81" s="3">
        <f t="shared" si="9"/>
        <v>4817.5276752767531</v>
      </c>
      <c r="V81">
        <f t="shared" si="8"/>
        <v>60.219095940959413</v>
      </c>
    </row>
    <row r="82" spans="1:22" x14ac:dyDescent="0.45">
      <c r="A82" t="s">
        <v>22</v>
      </c>
      <c r="B82" t="s">
        <v>23</v>
      </c>
      <c r="C82" t="s">
        <v>24</v>
      </c>
      <c r="D82" t="s">
        <v>31</v>
      </c>
      <c r="E82" t="s">
        <v>26</v>
      </c>
      <c r="F82" t="s">
        <v>32</v>
      </c>
      <c r="G82" t="s">
        <v>33</v>
      </c>
      <c r="H82" t="s">
        <v>36</v>
      </c>
      <c r="I82" t="s">
        <v>30</v>
      </c>
      <c r="J82" s="3">
        <v>40</v>
      </c>
      <c r="K82">
        <v>10000</v>
      </c>
      <c r="L82">
        <v>271021.84999999998</v>
      </c>
      <c r="M82">
        <v>0</v>
      </c>
      <c r="N82">
        <v>0</v>
      </c>
      <c r="O82" s="3">
        <v>46</v>
      </c>
      <c r="P82">
        <f>SUM($L$2:L82)</f>
        <v>75322317.739999965</v>
      </c>
      <c r="Q82" s="4">
        <f t="shared" si="5"/>
        <v>0.80973797035396045</v>
      </c>
      <c r="R82">
        <f t="shared" si="6"/>
        <v>5891.7793478260865</v>
      </c>
      <c r="S82">
        <f t="shared" si="7"/>
        <v>5891.7793478260865</v>
      </c>
      <c r="T82">
        <v>81</v>
      </c>
      <c r="U82" s="3">
        <f t="shared" si="9"/>
        <v>4863.5276752767531</v>
      </c>
      <c r="V82">
        <f t="shared" si="8"/>
        <v>60.043551546626581</v>
      </c>
    </row>
    <row r="83" spans="1:22" x14ac:dyDescent="0.45">
      <c r="A83" t="s">
        <v>38</v>
      </c>
      <c r="B83" t="s">
        <v>34</v>
      </c>
      <c r="C83" t="s">
        <v>39</v>
      </c>
      <c r="D83" t="s">
        <v>25</v>
      </c>
      <c r="E83" t="s">
        <v>35</v>
      </c>
      <c r="F83" t="s">
        <v>32</v>
      </c>
      <c r="G83" t="s">
        <v>33</v>
      </c>
      <c r="H83" t="s">
        <v>36</v>
      </c>
      <c r="I83" t="s">
        <v>30</v>
      </c>
      <c r="J83" s="3">
        <v>41.427586206896549</v>
      </c>
      <c r="K83">
        <v>0</v>
      </c>
      <c r="L83">
        <v>269302.21999999997</v>
      </c>
      <c r="M83">
        <v>0</v>
      </c>
      <c r="N83">
        <v>0</v>
      </c>
      <c r="O83" s="3">
        <v>48.940959409594093</v>
      </c>
      <c r="P83">
        <f>SUM($L$2:L83)</f>
        <v>75591619.959999964</v>
      </c>
      <c r="Q83" s="4">
        <f t="shared" si="5"/>
        <v>0.81263305164696231</v>
      </c>
      <c r="R83">
        <f t="shared" si="6"/>
        <v>5502.5938038151244</v>
      </c>
      <c r="S83">
        <f t="shared" si="7"/>
        <v>5502.5938038151244</v>
      </c>
      <c r="T83">
        <v>82</v>
      </c>
      <c r="U83" s="3">
        <f t="shared" si="9"/>
        <v>4912.4686346863473</v>
      </c>
      <c r="V83">
        <f t="shared" si="8"/>
        <v>59.908154081540822</v>
      </c>
    </row>
    <row r="84" spans="1:22" x14ac:dyDescent="0.45">
      <c r="A84" t="s">
        <v>22</v>
      </c>
      <c r="B84" t="s">
        <v>23</v>
      </c>
      <c r="C84" t="s">
        <v>24</v>
      </c>
      <c r="D84" t="s">
        <v>31</v>
      </c>
      <c r="E84" t="s">
        <v>26</v>
      </c>
      <c r="F84" t="s">
        <v>27</v>
      </c>
      <c r="G84" t="s">
        <v>33</v>
      </c>
      <c r="H84" t="s">
        <v>36</v>
      </c>
      <c r="I84" t="s">
        <v>30</v>
      </c>
      <c r="J84" s="3">
        <v>62</v>
      </c>
      <c r="K84">
        <v>2000</v>
      </c>
      <c r="L84">
        <v>266602.53000000003</v>
      </c>
      <c r="M84">
        <v>36000</v>
      </c>
      <c r="N84">
        <v>1</v>
      </c>
      <c r="O84" s="3">
        <v>91</v>
      </c>
      <c r="P84">
        <f>SUM($L$2:L84)</f>
        <v>75858222.489999965</v>
      </c>
      <c r="Q84" s="4">
        <f t="shared" si="5"/>
        <v>0.8154991104461432</v>
      </c>
      <c r="R84">
        <f t="shared" si="6"/>
        <v>2929.6981318681324</v>
      </c>
      <c r="S84">
        <f t="shared" si="7"/>
        <v>3325.3025274725278</v>
      </c>
      <c r="T84">
        <v>83</v>
      </c>
      <c r="U84" s="3">
        <f t="shared" si="9"/>
        <v>5003.4686346863473</v>
      </c>
      <c r="V84">
        <f t="shared" si="8"/>
        <v>60.282754634775266</v>
      </c>
    </row>
    <row r="85" spans="1:22" x14ac:dyDescent="0.45">
      <c r="A85" t="s">
        <v>22</v>
      </c>
      <c r="B85" t="s">
        <v>23</v>
      </c>
      <c r="C85" t="s">
        <v>24</v>
      </c>
      <c r="D85" t="s">
        <v>31</v>
      </c>
      <c r="E85" t="s">
        <v>35</v>
      </c>
      <c r="F85" t="s">
        <v>27</v>
      </c>
      <c r="G85" t="s">
        <v>33</v>
      </c>
      <c r="H85" t="s">
        <v>36</v>
      </c>
      <c r="I85" t="s">
        <v>40</v>
      </c>
      <c r="J85" s="3">
        <v>40</v>
      </c>
      <c r="K85">
        <v>2000</v>
      </c>
      <c r="L85">
        <v>261794.05</v>
      </c>
      <c r="M85">
        <v>0</v>
      </c>
      <c r="N85">
        <v>0</v>
      </c>
      <c r="O85" s="3">
        <v>84</v>
      </c>
      <c r="P85">
        <f>SUM($L$2:L85)</f>
        <v>76120016.539999962</v>
      </c>
      <c r="Q85" s="4">
        <f t="shared" si="5"/>
        <v>0.81831347661354503</v>
      </c>
      <c r="R85">
        <f t="shared" si="6"/>
        <v>3116.5958333333333</v>
      </c>
      <c r="S85">
        <f t="shared" si="7"/>
        <v>3116.5958333333333</v>
      </c>
      <c r="T85">
        <v>84</v>
      </c>
      <c r="U85" s="3">
        <f t="shared" si="9"/>
        <v>5087.4686346863473</v>
      </c>
      <c r="V85">
        <f t="shared" si="8"/>
        <v>60.565102793885089</v>
      </c>
    </row>
    <row r="86" spans="1:22" x14ac:dyDescent="0.45">
      <c r="A86" t="s">
        <v>38</v>
      </c>
      <c r="B86" t="s">
        <v>23</v>
      </c>
      <c r="C86" t="s">
        <v>24</v>
      </c>
      <c r="D86" t="s">
        <v>31</v>
      </c>
      <c r="E86" t="s">
        <v>26</v>
      </c>
      <c r="F86" t="s">
        <v>27</v>
      </c>
      <c r="G86" t="s">
        <v>33</v>
      </c>
      <c r="H86" t="s">
        <v>36</v>
      </c>
      <c r="I86" t="s">
        <v>40</v>
      </c>
      <c r="J86" s="3">
        <v>42</v>
      </c>
      <c r="K86">
        <v>4500</v>
      </c>
      <c r="L86">
        <v>259334.59</v>
      </c>
      <c r="M86">
        <v>44933.13</v>
      </c>
      <c r="N86">
        <v>1</v>
      </c>
      <c r="O86" s="3">
        <v>90</v>
      </c>
      <c r="P86">
        <f>SUM($L$2:L86)</f>
        <v>76379351.129999965</v>
      </c>
      <c r="Q86" s="4">
        <f t="shared" si="5"/>
        <v>0.82110140283315547</v>
      </c>
      <c r="R86">
        <f t="shared" si="6"/>
        <v>2881.4954444444443</v>
      </c>
      <c r="S86">
        <f t="shared" si="7"/>
        <v>3380.7524444444443</v>
      </c>
      <c r="T86">
        <v>85</v>
      </c>
      <c r="U86" s="3">
        <f t="shared" si="9"/>
        <v>5177.4686346863473</v>
      </c>
      <c r="V86">
        <f t="shared" si="8"/>
        <v>60.911395702192323</v>
      </c>
    </row>
    <row r="87" spans="1:22" x14ac:dyDescent="0.45">
      <c r="A87" t="s">
        <v>22</v>
      </c>
      <c r="B87" t="s">
        <v>34</v>
      </c>
      <c r="C87" t="s">
        <v>24</v>
      </c>
      <c r="D87" t="s">
        <v>25</v>
      </c>
      <c r="E87" t="s">
        <v>26</v>
      </c>
      <c r="F87" t="s">
        <v>27</v>
      </c>
      <c r="G87" t="s">
        <v>33</v>
      </c>
      <c r="H87" t="s">
        <v>29</v>
      </c>
      <c r="I87" t="s">
        <v>30</v>
      </c>
      <c r="J87" s="3">
        <v>56</v>
      </c>
      <c r="K87">
        <v>6000</v>
      </c>
      <c r="L87">
        <v>259301.31</v>
      </c>
      <c r="M87">
        <v>0</v>
      </c>
      <c r="N87">
        <v>0</v>
      </c>
      <c r="O87" s="3">
        <v>25</v>
      </c>
      <c r="P87">
        <f>SUM($L$2:L87)</f>
        <v>76638652.439999968</v>
      </c>
      <c r="Q87" s="4">
        <f t="shared" si="5"/>
        <v>0.82388897128257965</v>
      </c>
      <c r="R87">
        <f t="shared" si="6"/>
        <v>10372.0524</v>
      </c>
      <c r="S87">
        <f t="shared" si="7"/>
        <v>10372.0524</v>
      </c>
      <c r="T87">
        <v>86</v>
      </c>
      <c r="U87" s="3">
        <f t="shared" si="9"/>
        <v>5202.4686346863473</v>
      </c>
      <c r="V87">
        <f t="shared" si="8"/>
        <v>60.493821333562181</v>
      </c>
    </row>
    <row r="88" spans="1:22" x14ac:dyDescent="0.45">
      <c r="A88" t="s">
        <v>22</v>
      </c>
      <c r="B88" t="s">
        <v>34</v>
      </c>
      <c r="C88" t="s">
        <v>24</v>
      </c>
      <c r="D88" t="s">
        <v>31</v>
      </c>
      <c r="E88" t="s">
        <v>26</v>
      </c>
      <c r="F88" t="s">
        <v>27</v>
      </c>
      <c r="G88" t="s">
        <v>33</v>
      </c>
      <c r="H88" t="s">
        <v>36</v>
      </c>
      <c r="I88" t="s">
        <v>30</v>
      </c>
      <c r="J88" s="3">
        <v>28</v>
      </c>
      <c r="K88">
        <v>20000</v>
      </c>
      <c r="L88">
        <v>255712.02</v>
      </c>
      <c r="M88">
        <v>0</v>
      </c>
      <c r="N88">
        <v>0</v>
      </c>
      <c r="O88" s="3">
        <v>19</v>
      </c>
      <c r="P88">
        <f>SUM($L$2:L88)</f>
        <v>76894364.459999964</v>
      </c>
      <c r="Q88" s="4">
        <f t="shared" si="5"/>
        <v>0.82663795376589411</v>
      </c>
      <c r="R88">
        <f t="shared" si="6"/>
        <v>13458.527368421052</v>
      </c>
      <c r="S88">
        <f t="shared" si="7"/>
        <v>13458.527368421052</v>
      </c>
      <c r="T88">
        <v>87</v>
      </c>
      <c r="U88" s="3">
        <f t="shared" si="9"/>
        <v>5221.4686346863473</v>
      </c>
      <c r="V88">
        <f t="shared" si="8"/>
        <v>60.016880858463765</v>
      </c>
    </row>
    <row r="89" spans="1:22" x14ac:dyDescent="0.45">
      <c r="A89" t="s">
        <v>22</v>
      </c>
      <c r="B89" t="s">
        <v>23</v>
      </c>
      <c r="C89" t="s">
        <v>24</v>
      </c>
      <c r="D89" t="s">
        <v>31</v>
      </c>
      <c r="E89" t="s">
        <v>35</v>
      </c>
      <c r="F89" t="s">
        <v>32</v>
      </c>
      <c r="G89" t="s">
        <v>33</v>
      </c>
      <c r="H89" t="s">
        <v>36</v>
      </c>
      <c r="I89" t="s">
        <v>30</v>
      </c>
      <c r="J89" s="3">
        <v>65</v>
      </c>
      <c r="K89">
        <v>2000</v>
      </c>
      <c r="L89">
        <v>248062.36</v>
      </c>
      <c r="M89">
        <v>0</v>
      </c>
      <c r="N89">
        <v>0</v>
      </c>
      <c r="O89" s="3">
        <v>82</v>
      </c>
      <c r="P89">
        <f>SUM($L$2:L89)</f>
        <v>77142426.819999963</v>
      </c>
      <c r="Q89" s="4">
        <f t="shared" si="5"/>
        <v>0.82930470006280133</v>
      </c>
      <c r="R89">
        <f t="shared" si="6"/>
        <v>3025.1507317073169</v>
      </c>
      <c r="S89">
        <f t="shared" si="7"/>
        <v>3025.1507317073169</v>
      </c>
      <c r="T89">
        <v>88</v>
      </c>
      <c r="U89" s="3">
        <f t="shared" si="9"/>
        <v>5303.4686346863473</v>
      </c>
      <c r="V89">
        <f t="shared" si="8"/>
        <v>60.26668903052667</v>
      </c>
    </row>
    <row r="90" spans="1:22" x14ac:dyDescent="0.45">
      <c r="A90" t="s">
        <v>22</v>
      </c>
      <c r="B90" t="s">
        <v>34</v>
      </c>
      <c r="C90" t="s">
        <v>24</v>
      </c>
      <c r="D90" t="s">
        <v>31</v>
      </c>
      <c r="E90" t="s">
        <v>26</v>
      </c>
      <c r="F90" t="s">
        <v>27</v>
      </c>
      <c r="G90" t="s">
        <v>33</v>
      </c>
      <c r="H90" t="s">
        <v>29</v>
      </c>
      <c r="I90" t="s">
        <v>30</v>
      </c>
      <c r="J90" s="3">
        <v>46</v>
      </c>
      <c r="K90">
        <v>24500</v>
      </c>
      <c r="L90">
        <v>247603.89</v>
      </c>
      <c r="M90">
        <v>1024464.42</v>
      </c>
      <c r="N90">
        <v>21</v>
      </c>
      <c r="O90" s="3">
        <v>68</v>
      </c>
      <c r="P90">
        <f>SUM($L$2:L90)</f>
        <v>77390030.709999964</v>
      </c>
      <c r="Q90" s="4">
        <f t="shared" si="5"/>
        <v>0.83196651766688012</v>
      </c>
      <c r="R90">
        <f t="shared" si="6"/>
        <v>3641.2336764705883</v>
      </c>
      <c r="S90">
        <f t="shared" si="7"/>
        <v>18706.886911764708</v>
      </c>
      <c r="T90">
        <v>89</v>
      </c>
      <c r="U90" s="3">
        <f t="shared" si="9"/>
        <v>5371.4686346863473</v>
      </c>
      <c r="V90">
        <f t="shared" si="8"/>
        <v>60.353580165015138</v>
      </c>
    </row>
    <row r="91" spans="1:22" x14ac:dyDescent="0.45">
      <c r="A91" t="s">
        <v>22</v>
      </c>
      <c r="B91" t="s">
        <v>23</v>
      </c>
      <c r="C91" t="s">
        <v>24</v>
      </c>
      <c r="D91" t="s">
        <v>31</v>
      </c>
      <c r="E91" t="s">
        <v>26</v>
      </c>
      <c r="F91" t="s">
        <v>32</v>
      </c>
      <c r="G91" t="s">
        <v>33</v>
      </c>
      <c r="H91" t="s">
        <v>29</v>
      </c>
      <c r="I91" t="s">
        <v>40</v>
      </c>
      <c r="J91" s="3">
        <v>39</v>
      </c>
      <c r="K91">
        <v>3000</v>
      </c>
      <c r="L91">
        <v>245284.05</v>
      </c>
      <c r="M91">
        <v>0</v>
      </c>
      <c r="N91">
        <v>0</v>
      </c>
      <c r="O91" s="3">
        <v>56</v>
      </c>
      <c r="P91">
        <f>SUM($L$2:L91)</f>
        <v>77635314.759999961</v>
      </c>
      <c r="Q91" s="4">
        <f t="shared" si="5"/>
        <v>0.83460339628090241</v>
      </c>
      <c r="R91">
        <f t="shared" si="6"/>
        <v>4380.0723214285708</v>
      </c>
      <c r="S91">
        <f t="shared" si="7"/>
        <v>4380.0723214285708</v>
      </c>
      <c r="T91">
        <v>90</v>
      </c>
      <c r="U91" s="3">
        <f t="shared" si="9"/>
        <v>5427.4686346863473</v>
      </c>
      <c r="V91">
        <f t="shared" si="8"/>
        <v>60.305207052070529</v>
      </c>
    </row>
    <row r="92" spans="1:22" x14ac:dyDescent="0.45">
      <c r="A92" t="s">
        <v>38</v>
      </c>
      <c r="B92" t="s">
        <v>23</v>
      </c>
      <c r="C92" t="s">
        <v>39</v>
      </c>
      <c r="D92" t="s">
        <v>25</v>
      </c>
      <c r="E92" t="s">
        <v>26</v>
      </c>
      <c r="F92" t="s">
        <v>37</v>
      </c>
      <c r="G92" t="s">
        <v>28</v>
      </c>
      <c r="H92" t="s">
        <v>36</v>
      </c>
      <c r="I92" t="s">
        <v>30</v>
      </c>
      <c r="J92" s="3">
        <v>22</v>
      </c>
      <c r="K92">
        <v>4000</v>
      </c>
      <c r="L92">
        <v>237891.78</v>
      </c>
      <c r="M92">
        <v>0</v>
      </c>
      <c r="N92">
        <v>0</v>
      </c>
      <c r="O92" s="3">
        <v>34</v>
      </c>
      <c r="P92">
        <f>SUM($L$2:L92)</f>
        <v>77873206.539999962</v>
      </c>
      <c r="Q92" s="4">
        <f t="shared" si="5"/>
        <v>0.83716080572979934</v>
      </c>
      <c r="R92">
        <f t="shared" si="6"/>
        <v>6996.8170588235298</v>
      </c>
      <c r="S92">
        <f t="shared" si="7"/>
        <v>6996.8170588235298</v>
      </c>
      <c r="T92">
        <v>91</v>
      </c>
      <c r="U92" s="3">
        <f t="shared" si="9"/>
        <v>5461.4686346863473</v>
      </c>
      <c r="V92">
        <f t="shared" si="8"/>
        <v>60.016138842707115</v>
      </c>
    </row>
    <row r="93" spans="1:22" x14ac:dyDescent="0.45">
      <c r="A93" t="s">
        <v>38</v>
      </c>
      <c r="B93" t="s">
        <v>34</v>
      </c>
      <c r="C93" t="s">
        <v>24</v>
      </c>
      <c r="D93" t="s">
        <v>25</v>
      </c>
      <c r="E93" t="s">
        <v>26</v>
      </c>
      <c r="F93" t="s">
        <v>32</v>
      </c>
      <c r="G93" t="s">
        <v>33</v>
      </c>
      <c r="H93" t="s">
        <v>42</v>
      </c>
      <c r="I93" t="s">
        <v>40</v>
      </c>
      <c r="J93" s="3">
        <v>77</v>
      </c>
      <c r="K93">
        <v>0</v>
      </c>
      <c r="L93">
        <v>237398.52</v>
      </c>
      <c r="M93">
        <v>0</v>
      </c>
      <c r="N93">
        <v>0</v>
      </c>
      <c r="O93" s="3">
        <v>48.940959409594093</v>
      </c>
      <c r="P93">
        <f>SUM($L$2:L93)</f>
        <v>78110605.059999958</v>
      </c>
      <c r="Q93" s="4">
        <f t="shared" si="5"/>
        <v>0.83971291248271918</v>
      </c>
      <c r="R93">
        <f t="shared" si="6"/>
        <v>4850.7124270527029</v>
      </c>
      <c r="S93">
        <f t="shared" si="7"/>
        <v>4850.7124270527029</v>
      </c>
      <c r="T93">
        <v>92</v>
      </c>
      <c r="U93" s="3">
        <f t="shared" si="9"/>
        <v>5510.4095940959414</v>
      </c>
      <c r="V93">
        <f t="shared" si="8"/>
        <v>59.89575645756458</v>
      </c>
    </row>
    <row r="94" spans="1:22" x14ac:dyDescent="0.45">
      <c r="A94" t="s">
        <v>38</v>
      </c>
      <c r="B94" t="s">
        <v>23</v>
      </c>
      <c r="C94" t="s">
        <v>24</v>
      </c>
      <c r="D94" t="s">
        <v>31</v>
      </c>
      <c r="E94" t="s">
        <v>26</v>
      </c>
      <c r="F94" t="s">
        <v>32</v>
      </c>
      <c r="G94" t="s">
        <v>33</v>
      </c>
      <c r="H94" t="s">
        <v>36</v>
      </c>
      <c r="I94" t="s">
        <v>30</v>
      </c>
      <c r="J94" s="3">
        <v>41</v>
      </c>
      <c r="K94">
        <v>0</v>
      </c>
      <c r="L94">
        <v>233480.88</v>
      </c>
      <c r="M94">
        <v>0</v>
      </c>
      <c r="N94">
        <v>0</v>
      </c>
      <c r="O94" s="3">
        <v>48.940959409594093</v>
      </c>
      <c r="P94">
        <f>SUM($L$2:L94)</f>
        <v>78344085.939999953</v>
      </c>
      <c r="Q94" s="4">
        <f t="shared" si="5"/>
        <v>0.84222290340652817</v>
      </c>
      <c r="R94">
        <f t="shared" si="6"/>
        <v>4770.6641393349928</v>
      </c>
      <c r="S94">
        <f t="shared" si="7"/>
        <v>4770.6641393349928</v>
      </c>
      <c r="T94">
        <v>93</v>
      </c>
      <c r="U94" s="3">
        <f t="shared" si="9"/>
        <v>5559.3505535055356</v>
      </c>
      <c r="V94">
        <f t="shared" si="8"/>
        <v>59.777962940919736</v>
      </c>
    </row>
    <row r="95" spans="1:22" x14ac:dyDescent="0.45">
      <c r="A95" t="s">
        <v>22</v>
      </c>
      <c r="B95" t="s">
        <v>23</v>
      </c>
      <c r="C95" t="s">
        <v>24</v>
      </c>
      <c r="D95" t="s">
        <v>31</v>
      </c>
      <c r="E95" t="s">
        <v>26</v>
      </c>
      <c r="F95" t="s">
        <v>27</v>
      </c>
      <c r="G95" t="s">
        <v>33</v>
      </c>
      <c r="H95" t="s">
        <v>36</v>
      </c>
      <c r="I95" t="s">
        <v>30</v>
      </c>
      <c r="J95" s="3">
        <v>50</v>
      </c>
      <c r="K95">
        <v>3000</v>
      </c>
      <c r="L95">
        <v>229162.1</v>
      </c>
      <c r="M95">
        <v>0</v>
      </c>
      <c r="N95">
        <v>0</v>
      </c>
      <c r="O95" s="3">
        <v>41</v>
      </c>
      <c r="P95">
        <f>SUM($L$2:L95)</f>
        <v>78573248.039999947</v>
      </c>
      <c r="Q95" s="4">
        <f t="shared" si="5"/>
        <v>0.84468646612344522</v>
      </c>
      <c r="R95">
        <f t="shared" si="6"/>
        <v>5589.3195121951221</v>
      </c>
      <c r="S95">
        <f t="shared" si="7"/>
        <v>5589.3195121951221</v>
      </c>
      <c r="T95">
        <v>94</v>
      </c>
      <c r="U95" s="3">
        <f t="shared" si="9"/>
        <v>5600.3505535055356</v>
      </c>
      <c r="V95">
        <f t="shared" si="8"/>
        <v>59.57819737771846</v>
      </c>
    </row>
    <row r="96" spans="1:22" x14ac:dyDescent="0.45">
      <c r="A96" t="s">
        <v>38</v>
      </c>
      <c r="B96" t="s">
        <v>23</v>
      </c>
      <c r="C96" t="s">
        <v>24</v>
      </c>
      <c r="D96" t="s">
        <v>25</v>
      </c>
      <c r="E96" t="s">
        <v>26</v>
      </c>
      <c r="F96" t="s">
        <v>32</v>
      </c>
      <c r="G96" t="s">
        <v>28</v>
      </c>
      <c r="H96" t="s">
        <v>29</v>
      </c>
      <c r="I96" t="s">
        <v>30</v>
      </c>
      <c r="J96" s="3">
        <v>21</v>
      </c>
      <c r="K96">
        <v>5000</v>
      </c>
      <c r="L96">
        <v>227678.52</v>
      </c>
      <c r="M96">
        <v>0</v>
      </c>
      <c r="N96">
        <v>0</v>
      </c>
      <c r="O96" s="3">
        <v>19</v>
      </c>
      <c r="P96">
        <f>SUM($L$2:L96)</f>
        <v>78800926.559999943</v>
      </c>
      <c r="Q96" s="4">
        <f t="shared" si="5"/>
        <v>0.84713407990126832</v>
      </c>
      <c r="R96">
        <f t="shared" si="6"/>
        <v>11983.08</v>
      </c>
      <c r="S96">
        <f t="shared" si="7"/>
        <v>11983.08</v>
      </c>
      <c r="T96">
        <v>95</v>
      </c>
      <c r="U96" s="3">
        <f t="shared" si="9"/>
        <v>5619.3505535055356</v>
      </c>
      <c r="V96">
        <f t="shared" si="8"/>
        <v>59.151058457953006</v>
      </c>
    </row>
    <row r="97" spans="1:22" x14ac:dyDescent="0.45">
      <c r="A97" t="s">
        <v>38</v>
      </c>
      <c r="B97" t="s">
        <v>23</v>
      </c>
      <c r="C97" t="s">
        <v>24</v>
      </c>
      <c r="D97" t="s">
        <v>31</v>
      </c>
      <c r="E97" t="s">
        <v>35</v>
      </c>
      <c r="F97" t="s">
        <v>27</v>
      </c>
      <c r="G97" t="s">
        <v>33</v>
      </c>
      <c r="H97" t="s">
        <v>36</v>
      </c>
      <c r="I97" t="s">
        <v>30</v>
      </c>
      <c r="J97" s="3">
        <v>49</v>
      </c>
      <c r="K97">
        <v>2000</v>
      </c>
      <c r="L97">
        <v>224481.42</v>
      </c>
      <c r="M97">
        <v>73177.26999999999</v>
      </c>
      <c r="N97">
        <v>4</v>
      </c>
      <c r="O97" s="3">
        <v>89</v>
      </c>
      <c r="P97">
        <f>SUM($L$2:L97)</f>
        <v>79025407.979999945</v>
      </c>
      <c r="Q97" s="4">
        <f t="shared" si="5"/>
        <v>0.84954732387552334</v>
      </c>
      <c r="R97">
        <f t="shared" si="6"/>
        <v>2522.2631460674161</v>
      </c>
      <c r="S97">
        <f t="shared" si="7"/>
        <v>3344.4796629213483</v>
      </c>
      <c r="T97">
        <v>96</v>
      </c>
      <c r="U97" s="3">
        <f t="shared" si="9"/>
        <v>5708.3505535055356</v>
      </c>
      <c r="V97">
        <f t="shared" si="8"/>
        <v>59.461984932349331</v>
      </c>
    </row>
    <row r="98" spans="1:22" x14ac:dyDescent="0.45">
      <c r="A98" t="s">
        <v>38</v>
      </c>
      <c r="B98" t="s">
        <v>23</v>
      </c>
      <c r="C98" t="s">
        <v>24</v>
      </c>
      <c r="D98" t="s">
        <v>31</v>
      </c>
      <c r="E98" t="s">
        <v>35</v>
      </c>
      <c r="F98" t="s">
        <v>32</v>
      </c>
      <c r="G98" t="s">
        <v>33</v>
      </c>
      <c r="H98" t="s">
        <v>36</v>
      </c>
      <c r="I98" t="s">
        <v>30</v>
      </c>
      <c r="J98" s="3">
        <v>31</v>
      </c>
      <c r="K98">
        <v>2000</v>
      </c>
      <c r="L98">
        <v>223078</v>
      </c>
      <c r="M98">
        <v>44843.7</v>
      </c>
      <c r="N98">
        <v>1</v>
      </c>
      <c r="O98" s="3">
        <v>60</v>
      </c>
      <c r="P98">
        <f>SUM($L$2:L98)</f>
        <v>79248485.979999945</v>
      </c>
      <c r="Q98" s="4">
        <f t="shared" si="5"/>
        <v>0.85194548065521958</v>
      </c>
      <c r="R98">
        <f t="shared" si="6"/>
        <v>3717.9666666666667</v>
      </c>
      <c r="S98">
        <f t="shared" si="7"/>
        <v>4465.3616666666667</v>
      </c>
      <c r="T98">
        <v>97</v>
      </c>
      <c r="U98" s="3">
        <f t="shared" si="9"/>
        <v>5768.3505535055356</v>
      </c>
      <c r="V98">
        <f t="shared" si="8"/>
        <v>59.467531479438513</v>
      </c>
    </row>
    <row r="99" spans="1:22" x14ac:dyDescent="0.45">
      <c r="A99" t="s">
        <v>38</v>
      </c>
      <c r="B99" t="s">
        <v>34</v>
      </c>
      <c r="C99" t="s">
        <v>24</v>
      </c>
      <c r="D99" t="s">
        <v>25</v>
      </c>
      <c r="E99" t="s">
        <v>35</v>
      </c>
      <c r="F99" t="s">
        <v>27</v>
      </c>
      <c r="G99" t="s">
        <v>33</v>
      </c>
      <c r="H99" t="s">
        <v>36</v>
      </c>
      <c r="I99" t="s">
        <v>40</v>
      </c>
      <c r="J99" s="3">
        <v>59</v>
      </c>
      <c r="K99">
        <v>2000</v>
      </c>
      <c r="L99">
        <v>215076.93</v>
      </c>
      <c r="M99">
        <v>54000</v>
      </c>
      <c r="N99">
        <v>3</v>
      </c>
      <c r="O99" s="3">
        <v>73</v>
      </c>
      <c r="P99">
        <f>SUM($L$2:L99)</f>
        <v>79463562.909999952</v>
      </c>
      <c r="Q99" s="4">
        <f t="shared" si="5"/>
        <v>0.85425762348344914</v>
      </c>
      <c r="R99">
        <f t="shared" si="6"/>
        <v>2946.2593150684929</v>
      </c>
      <c r="S99">
        <f t="shared" si="7"/>
        <v>3685.9853424657535</v>
      </c>
      <c r="T99">
        <v>98</v>
      </c>
      <c r="U99" s="3">
        <f t="shared" si="9"/>
        <v>5841.3505535055356</v>
      </c>
      <c r="V99">
        <f t="shared" si="8"/>
        <v>59.605617892913628</v>
      </c>
    </row>
    <row r="100" spans="1:22" x14ac:dyDescent="0.45">
      <c r="A100" t="s">
        <v>22</v>
      </c>
      <c r="B100" t="s">
        <v>23</v>
      </c>
      <c r="C100" t="s">
        <v>24</v>
      </c>
      <c r="D100" t="s">
        <v>31</v>
      </c>
      <c r="E100" t="s">
        <v>26</v>
      </c>
      <c r="F100" t="s">
        <v>27</v>
      </c>
      <c r="G100" t="s">
        <v>33</v>
      </c>
      <c r="H100" t="s">
        <v>36</v>
      </c>
      <c r="I100" t="s">
        <v>30</v>
      </c>
      <c r="J100" s="3">
        <v>48</v>
      </c>
      <c r="K100">
        <v>2000</v>
      </c>
      <c r="L100">
        <v>213792.06</v>
      </c>
      <c r="M100">
        <v>0</v>
      </c>
      <c r="N100">
        <v>0</v>
      </c>
      <c r="O100" s="3">
        <v>70</v>
      </c>
      <c r="P100">
        <f>SUM($L$2:L100)</f>
        <v>79677354.969999954</v>
      </c>
      <c r="Q100" s="4">
        <f t="shared" si="5"/>
        <v>0.85655595356590575</v>
      </c>
      <c r="R100">
        <f t="shared" si="6"/>
        <v>3054.1722857142859</v>
      </c>
      <c r="S100">
        <f t="shared" si="7"/>
        <v>3054.1722857142859</v>
      </c>
      <c r="T100">
        <v>99</v>
      </c>
      <c r="U100" s="3">
        <f t="shared" si="9"/>
        <v>5911.3505535055356</v>
      </c>
      <c r="V100">
        <f t="shared" si="8"/>
        <v>59.710611651571064</v>
      </c>
    </row>
    <row r="101" spans="1:22" x14ac:dyDescent="0.45">
      <c r="A101" t="s">
        <v>38</v>
      </c>
      <c r="B101" t="s">
        <v>34</v>
      </c>
      <c r="C101" t="s">
        <v>24</v>
      </c>
      <c r="D101" t="s">
        <v>31</v>
      </c>
      <c r="E101" t="s">
        <v>26</v>
      </c>
      <c r="F101" t="s">
        <v>32</v>
      </c>
      <c r="G101" t="s">
        <v>33</v>
      </c>
      <c r="H101" t="s">
        <v>36</v>
      </c>
      <c r="I101" t="s">
        <v>30</v>
      </c>
      <c r="J101" s="3">
        <v>51</v>
      </c>
      <c r="K101">
        <v>5000</v>
      </c>
      <c r="L101">
        <v>209377.88</v>
      </c>
      <c r="M101">
        <v>0</v>
      </c>
      <c r="N101">
        <v>0</v>
      </c>
      <c r="O101" s="3">
        <v>34</v>
      </c>
      <c r="P101">
        <f>SUM($L$2:L101)</f>
        <v>79886732.849999949</v>
      </c>
      <c r="Q101" s="4">
        <f t="shared" si="5"/>
        <v>0.8588068298622703</v>
      </c>
      <c r="R101">
        <f t="shared" si="6"/>
        <v>6158.1729411764709</v>
      </c>
      <c r="S101">
        <f t="shared" si="7"/>
        <v>6158.1729411764709</v>
      </c>
      <c r="T101">
        <v>100</v>
      </c>
      <c r="U101" s="3">
        <f t="shared" si="9"/>
        <v>5945.3505535055356</v>
      </c>
      <c r="V101">
        <f t="shared" si="8"/>
        <v>59.453505535055356</v>
      </c>
    </row>
    <row r="102" spans="1:22" x14ac:dyDescent="0.45">
      <c r="A102" t="s">
        <v>38</v>
      </c>
      <c r="B102" t="s">
        <v>34</v>
      </c>
      <c r="C102" t="s">
        <v>24</v>
      </c>
      <c r="D102" t="s">
        <v>31</v>
      </c>
      <c r="E102" t="s">
        <v>26</v>
      </c>
      <c r="F102" t="s">
        <v>27</v>
      </c>
      <c r="G102" t="s">
        <v>33</v>
      </c>
      <c r="H102" t="s">
        <v>36</v>
      </c>
      <c r="I102" t="s">
        <v>30</v>
      </c>
      <c r="J102" s="3">
        <v>45</v>
      </c>
      <c r="K102">
        <v>3000</v>
      </c>
      <c r="L102">
        <v>208963.67</v>
      </c>
      <c r="M102">
        <v>175000</v>
      </c>
      <c r="N102">
        <v>2</v>
      </c>
      <c r="O102" s="3">
        <v>84</v>
      </c>
      <c r="P102">
        <f>SUM($L$2:L102)</f>
        <v>80095696.519999951</v>
      </c>
      <c r="Q102" s="4">
        <f t="shared" si="5"/>
        <v>0.86105325327435367</v>
      </c>
      <c r="R102">
        <f t="shared" si="6"/>
        <v>2487.6627380952382</v>
      </c>
      <c r="S102">
        <f t="shared" si="7"/>
        <v>4570.9960714285717</v>
      </c>
      <c r="T102">
        <v>101</v>
      </c>
      <c r="U102" s="3">
        <f t="shared" si="9"/>
        <v>6029.3505535055356</v>
      </c>
      <c r="V102">
        <f t="shared" si="8"/>
        <v>59.696540133718173</v>
      </c>
    </row>
    <row r="103" spans="1:22" x14ac:dyDescent="0.45">
      <c r="A103" t="s">
        <v>22</v>
      </c>
      <c r="B103" t="s">
        <v>34</v>
      </c>
      <c r="C103" t="s">
        <v>24</v>
      </c>
      <c r="D103" t="s">
        <v>25</v>
      </c>
      <c r="E103" t="s">
        <v>26</v>
      </c>
      <c r="F103" t="s">
        <v>32</v>
      </c>
      <c r="G103" t="s">
        <v>33</v>
      </c>
      <c r="H103" t="s">
        <v>29</v>
      </c>
      <c r="I103" t="s">
        <v>30</v>
      </c>
      <c r="J103" s="3">
        <v>42</v>
      </c>
      <c r="K103">
        <v>5000</v>
      </c>
      <c r="L103">
        <v>208660.49</v>
      </c>
      <c r="M103">
        <v>0</v>
      </c>
      <c r="N103">
        <v>0</v>
      </c>
      <c r="O103" s="3">
        <v>34</v>
      </c>
      <c r="P103">
        <f>SUM($L$2:L103)</f>
        <v>80304357.009999946</v>
      </c>
      <c r="Q103" s="4">
        <f t="shared" si="5"/>
        <v>0.8632964174086396</v>
      </c>
      <c r="R103">
        <f t="shared" si="6"/>
        <v>6137.0732352941177</v>
      </c>
      <c r="S103">
        <f t="shared" si="7"/>
        <v>6137.0732352941177</v>
      </c>
      <c r="T103">
        <v>102</v>
      </c>
      <c r="U103" s="3">
        <f t="shared" si="9"/>
        <v>6063.3505535055356</v>
      </c>
      <c r="V103">
        <f t="shared" si="8"/>
        <v>59.444613269662113</v>
      </c>
    </row>
    <row r="104" spans="1:22" x14ac:dyDescent="0.45">
      <c r="A104" t="s">
        <v>22</v>
      </c>
      <c r="B104" t="s">
        <v>23</v>
      </c>
      <c r="C104" t="s">
        <v>24</v>
      </c>
      <c r="D104" t="s">
        <v>31</v>
      </c>
      <c r="E104" t="s">
        <v>35</v>
      </c>
      <c r="F104" t="s">
        <v>27</v>
      </c>
      <c r="G104" t="s">
        <v>33</v>
      </c>
      <c r="H104" t="s">
        <v>29</v>
      </c>
      <c r="I104" t="s">
        <v>40</v>
      </c>
      <c r="J104" s="3">
        <v>34</v>
      </c>
      <c r="K104">
        <v>1000</v>
      </c>
      <c r="L104">
        <v>207835.32</v>
      </c>
      <c r="M104">
        <v>64710.75</v>
      </c>
      <c r="N104">
        <v>1</v>
      </c>
      <c r="O104" s="3">
        <v>92</v>
      </c>
      <c r="P104">
        <f>SUM($L$2:L104)</f>
        <v>80512192.329999939</v>
      </c>
      <c r="Q104" s="4">
        <f t="shared" si="5"/>
        <v>0.86553071071285759</v>
      </c>
      <c r="R104">
        <f t="shared" si="6"/>
        <v>2259.0795652173915</v>
      </c>
      <c r="S104">
        <f t="shared" si="7"/>
        <v>2962.4572826086956</v>
      </c>
      <c r="T104">
        <v>103</v>
      </c>
      <c r="U104" s="3">
        <f t="shared" si="9"/>
        <v>6155.3505535055356</v>
      </c>
      <c r="V104">
        <f t="shared" si="8"/>
        <v>59.760684985490634</v>
      </c>
    </row>
    <row r="105" spans="1:22" x14ac:dyDescent="0.45">
      <c r="A105" t="s">
        <v>22</v>
      </c>
      <c r="B105" t="s">
        <v>34</v>
      </c>
      <c r="C105" t="s">
        <v>24</v>
      </c>
      <c r="D105" t="s">
        <v>31</v>
      </c>
      <c r="E105" t="s">
        <v>26</v>
      </c>
      <c r="F105" t="s">
        <v>27</v>
      </c>
      <c r="G105" t="s">
        <v>33</v>
      </c>
      <c r="H105" t="s">
        <v>29</v>
      </c>
      <c r="I105" t="s">
        <v>30</v>
      </c>
      <c r="J105" s="3">
        <v>47</v>
      </c>
      <c r="K105">
        <v>10000</v>
      </c>
      <c r="L105">
        <v>205564.79</v>
      </c>
      <c r="M105">
        <v>0</v>
      </c>
      <c r="N105">
        <v>0</v>
      </c>
      <c r="O105" s="3">
        <v>6</v>
      </c>
      <c r="P105">
        <f>SUM($L$2:L105)</f>
        <v>80717757.119999945</v>
      </c>
      <c r="Q105" s="4">
        <f t="shared" si="5"/>
        <v>0.8677405951246121</v>
      </c>
      <c r="R105">
        <f t="shared" si="6"/>
        <v>34260.798333333332</v>
      </c>
      <c r="S105">
        <f t="shared" si="7"/>
        <v>34260.798333333332</v>
      </c>
      <c r="T105">
        <v>104</v>
      </c>
      <c r="U105" s="3">
        <f t="shared" si="9"/>
        <v>6161.3505535055356</v>
      </c>
      <c r="V105">
        <f t="shared" si="8"/>
        <v>59.24375532216861</v>
      </c>
    </row>
    <row r="106" spans="1:22" x14ac:dyDescent="0.45">
      <c r="A106" t="s">
        <v>22</v>
      </c>
      <c r="B106" t="s">
        <v>34</v>
      </c>
      <c r="C106" t="s">
        <v>24</v>
      </c>
      <c r="D106" t="s">
        <v>25</v>
      </c>
      <c r="E106" t="s">
        <v>35</v>
      </c>
      <c r="F106" t="s">
        <v>32</v>
      </c>
      <c r="G106" t="s">
        <v>33</v>
      </c>
      <c r="H106" t="s">
        <v>29</v>
      </c>
      <c r="I106" t="s">
        <v>30</v>
      </c>
      <c r="J106" s="3">
        <v>75</v>
      </c>
      <c r="K106">
        <v>15000</v>
      </c>
      <c r="L106">
        <v>201535.53</v>
      </c>
      <c r="M106">
        <v>0</v>
      </c>
      <c r="N106">
        <v>0</v>
      </c>
      <c r="O106" s="3">
        <v>13</v>
      </c>
      <c r="P106">
        <f>SUM($L$2:L106)</f>
        <v>80919292.649999946</v>
      </c>
      <c r="Q106" s="4">
        <f t="shared" si="5"/>
        <v>0.86990716375809085</v>
      </c>
      <c r="R106">
        <f t="shared" si="6"/>
        <v>15502.733076923078</v>
      </c>
      <c r="S106">
        <f t="shared" si="7"/>
        <v>15502.733076923078</v>
      </c>
      <c r="T106">
        <v>105</v>
      </c>
      <c r="U106" s="3">
        <f t="shared" si="9"/>
        <v>6174.3505535055356</v>
      </c>
      <c r="V106">
        <f t="shared" si="8"/>
        <v>58.803338604814627</v>
      </c>
    </row>
    <row r="107" spans="1:22" x14ac:dyDescent="0.45">
      <c r="A107" t="s">
        <v>22</v>
      </c>
      <c r="B107" t="s">
        <v>23</v>
      </c>
      <c r="C107" t="s">
        <v>24</v>
      </c>
      <c r="D107" t="s">
        <v>31</v>
      </c>
      <c r="E107" t="s">
        <v>35</v>
      </c>
      <c r="F107" t="s">
        <v>32</v>
      </c>
      <c r="G107" t="s">
        <v>33</v>
      </c>
      <c r="H107" t="s">
        <v>29</v>
      </c>
      <c r="I107" t="s">
        <v>30</v>
      </c>
      <c r="J107" s="3">
        <v>46</v>
      </c>
      <c r="K107">
        <v>5000</v>
      </c>
      <c r="L107">
        <v>200770.54</v>
      </c>
      <c r="M107">
        <v>0</v>
      </c>
      <c r="N107">
        <v>0</v>
      </c>
      <c r="O107" s="3">
        <v>34</v>
      </c>
      <c r="P107">
        <f>SUM($L$2:L107)</f>
        <v>81120063.189999953</v>
      </c>
      <c r="Q107" s="4">
        <f t="shared" si="5"/>
        <v>0.87206550851492171</v>
      </c>
      <c r="R107">
        <f t="shared" si="6"/>
        <v>5905.0158823529418</v>
      </c>
      <c r="S107">
        <f t="shared" si="7"/>
        <v>5905.0158823529418</v>
      </c>
      <c r="T107">
        <v>106</v>
      </c>
      <c r="U107" s="3">
        <f t="shared" si="9"/>
        <v>6208.3505535055356</v>
      </c>
      <c r="V107">
        <f t="shared" si="8"/>
        <v>58.569344844391843</v>
      </c>
    </row>
    <row r="108" spans="1:22" x14ac:dyDescent="0.45">
      <c r="A108" t="s">
        <v>38</v>
      </c>
      <c r="B108" t="s">
        <v>23</v>
      </c>
      <c r="C108" t="s">
        <v>24</v>
      </c>
      <c r="D108" t="s">
        <v>31</v>
      </c>
      <c r="E108" t="s">
        <v>35</v>
      </c>
      <c r="F108" t="s">
        <v>27</v>
      </c>
      <c r="G108" t="s">
        <v>33</v>
      </c>
      <c r="H108" t="s">
        <v>36</v>
      </c>
      <c r="I108" t="s">
        <v>30</v>
      </c>
      <c r="J108" s="3">
        <v>50</v>
      </c>
      <c r="K108">
        <v>1000</v>
      </c>
      <c r="L108">
        <v>200107.2</v>
      </c>
      <c r="M108">
        <v>0</v>
      </c>
      <c r="N108">
        <v>0</v>
      </c>
      <c r="O108" s="3">
        <v>20</v>
      </c>
      <c r="P108">
        <f>SUM($L$2:L108)</f>
        <v>81320170.389999956</v>
      </c>
      <c r="Q108" s="4">
        <f t="shared" si="5"/>
        <v>0.87421672216371749</v>
      </c>
      <c r="R108">
        <f t="shared" si="6"/>
        <v>10005.36</v>
      </c>
      <c r="S108">
        <f t="shared" si="7"/>
        <v>10005.36</v>
      </c>
      <c r="T108">
        <v>107</v>
      </c>
      <c r="U108" s="3">
        <f t="shared" si="9"/>
        <v>6228.3505535055356</v>
      </c>
      <c r="V108">
        <f t="shared" si="8"/>
        <v>58.208883677621827</v>
      </c>
    </row>
    <row r="109" spans="1:22" x14ac:dyDescent="0.45">
      <c r="A109" t="s">
        <v>22</v>
      </c>
      <c r="B109" t="s">
        <v>23</v>
      </c>
      <c r="C109" t="s">
        <v>24</v>
      </c>
      <c r="D109" t="s">
        <v>31</v>
      </c>
      <c r="E109" t="s">
        <v>26</v>
      </c>
      <c r="F109" t="s">
        <v>32</v>
      </c>
      <c r="G109" t="s">
        <v>33</v>
      </c>
      <c r="H109" t="s">
        <v>36</v>
      </c>
      <c r="I109" t="s">
        <v>30</v>
      </c>
      <c r="J109" s="3">
        <v>36</v>
      </c>
      <c r="K109">
        <v>0</v>
      </c>
      <c r="L109">
        <v>193836.92</v>
      </c>
      <c r="M109">
        <v>0</v>
      </c>
      <c r="N109">
        <v>0</v>
      </c>
      <c r="O109" s="3">
        <v>87</v>
      </c>
      <c r="P109">
        <f>SUM($L$2:L109)</f>
        <v>81514007.309999958</v>
      </c>
      <c r="Q109" s="4">
        <f t="shared" si="5"/>
        <v>0.87630052838330641</v>
      </c>
      <c r="R109">
        <f t="shared" si="6"/>
        <v>2228.010574712644</v>
      </c>
      <c r="S109">
        <f t="shared" si="7"/>
        <v>2228.010574712644</v>
      </c>
      <c r="T109">
        <v>108</v>
      </c>
      <c r="U109" s="3">
        <f t="shared" si="9"/>
        <v>6315.3505535055356</v>
      </c>
      <c r="V109">
        <f t="shared" si="8"/>
        <v>58.475468088014217</v>
      </c>
    </row>
    <row r="110" spans="1:22" x14ac:dyDescent="0.45">
      <c r="A110" t="s">
        <v>22</v>
      </c>
      <c r="B110" t="s">
        <v>23</v>
      </c>
      <c r="C110" t="s">
        <v>24</v>
      </c>
      <c r="D110" t="s">
        <v>31</v>
      </c>
      <c r="E110" t="s">
        <v>35</v>
      </c>
      <c r="F110" t="s">
        <v>37</v>
      </c>
      <c r="G110" t="s">
        <v>33</v>
      </c>
      <c r="H110" t="s">
        <v>29</v>
      </c>
      <c r="I110" t="s">
        <v>40</v>
      </c>
      <c r="J110" s="3">
        <v>35</v>
      </c>
      <c r="K110">
        <v>9500</v>
      </c>
      <c r="L110">
        <v>191807.23</v>
      </c>
      <c r="M110">
        <v>12816.8</v>
      </c>
      <c r="N110">
        <v>3</v>
      </c>
      <c r="O110" s="3">
        <v>31</v>
      </c>
      <c r="P110">
        <f>SUM($L$2:L110)</f>
        <v>81705814.539999962</v>
      </c>
      <c r="Q110" s="4">
        <f t="shared" si="5"/>
        <v>0.87836251481414795</v>
      </c>
      <c r="R110">
        <f t="shared" si="6"/>
        <v>6187.33</v>
      </c>
      <c r="S110">
        <f t="shared" si="7"/>
        <v>6600.7751612903221</v>
      </c>
      <c r="T110">
        <v>109</v>
      </c>
      <c r="U110" s="3">
        <f t="shared" si="9"/>
        <v>6346.3505535055356</v>
      </c>
      <c r="V110">
        <f t="shared" si="8"/>
        <v>58.223399573445278</v>
      </c>
    </row>
    <row r="111" spans="1:22" x14ac:dyDescent="0.45">
      <c r="A111" t="s">
        <v>38</v>
      </c>
      <c r="B111" t="s">
        <v>34</v>
      </c>
      <c r="C111" t="s">
        <v>39</v>
      </c>
      <c r="D111" t="s">
        <v>25</v>
      </c>
      <c r="E111" t="s">
        <v>35</v>
      </c>
      <c r="F111" t="s">
        <v>37</v>
      </c>
      <c r="G111" t="s">
        <v>33</v>
      </c>
      <c r="H111" t="s">
        <v>42</v>
      </c>
      <c r="I111" t="s">
        <v>30</v>
      </c>
      <c r="J111" s="3">
        <v>70</v>
      </c>
      <c r="K111">
        <v>0</v>
      </c>
      <c r="L111">
        <v>187842.02</v>
      </c>
      <c r="M111">
        <v>0</v>
      </c>
      <c r="N111">
        <v>0</v>
      </c>
      <c r="O111" s="3">
        <v>48.940959409594093</v>
      </c>
      <c r="P111">
        <f>SUM($L$2:L111)</f>
        <v>81893656.559999958</v>
      </c>
      <c r="Q111" s="4">
        <f t="shared" si="5"/>
        <v>0.88038187402381829</v>
      </c>
      <c r="R111">
        <f t="shared" si="6"/>
        <v>3838.1352197843626</v>
      </c>
      <c r="S111">
        <f t="shared" si="7"/>
        <v>3838.1352197843626</v>
      </c>
      <c r="T111">
        <v>110</v>
      </c>
      <c r="U111" s="3">
        <f t="shared" si="9"/>
        <v>6395.2915129151297</v>
      </c>
      <c r="V111">
        <f t="shared" si="8"/>
        <v>58.139013753773909</v>
      </c>
    </row>
    <row r="112" spans="1:22" x14ac:dyDescent="0.45">
      <c r="A112" t="s">
        <v>38</v>
      </c>
      <c r="B112" t="s">
        <v>34</v>
      </c>
      <c r="C112" t="s">
        <v>24</v>
      </c>
      <c r="D112" t="s">
        <v>31</v>
      </c>
      <c r="E112" t="s">
        <v>35</v>
      </c>
      <c r="F112" t="s">
        <v>32</v>
      </c>
      <c r="G112" t="s">
        <v>33</v>
      </c>
      <c r="H112" t="s">
        <v>36</v>
      </c>
      <c r="I112" t="s">
        <v>30</v>
      </c>
      <c r="J112" s="3">
        <v>39</v>
      </c>
      <c r="K112">
        <v>5000</v>
      </c>
      <c r="L112">
        <v>186977.72</v>
      </c>
      <c r="M112">
        <v>0</v>
      </c>
      <c r="N112">
        <v>0</v>
      </c>
      <c r="O112" s="3">
        <v>10</v>
      </c>
      <c r="P112">
        <f>SUM($L$2:L112)</f>
        <v>82080634.279999956</v>
      </c>
      <c r="Q112" s="4">
        <f t="shared" si="5"/>
        <v>0.88239194174394375</v>
      </c>
      <c r="R112">
        <f t="shared" si="6"/>
        <v>18697.772000000001</v>
      </c>
      <c r="S112">
        <f t="shared" si="7"/>
        <v>18697.772000000001</v>
      </c>
      <c r="T112">
        <v>111</v>
      </c>
      <c r="U112" s="3">
        <f t="shared" si="9"/>
        <v>6405.2915129151297</v>
      </c>
      <c r="V112">
        <f t="shared" si="8"/>
        <v>57.70532894518135</v>
      </c>
    </row>
    <row r="113" spans="1:22" x14ac:dyDescent="0.45">
      <c r="A113" t="s">
        <v>38</v>
      </c>
      <c r="B113" t="s">
        <v>34</v>
      </c>
      <c r="C113" t="s">
        <v>39</v>
      </c>
      <c r="D113" t="s">
        <v>31</v>
      </c>
      <c r="E113" t="s">
        <v>35</v>
      </c>
      <c r="F113" t="s">
        <v>27</v>
      </c>
      <c r="G113" t="s">
        <v>33</v>
      </c>
      <c r="H113" t="s">
        <v>36</v>
      </c>
      <c r="I113" t="s">
        <v>30</v>
      </c>
      <c r="J113" s="3">
        <v>52</v>
      </c>
      <c r="K113">
        <v>3000</v>
      </c>
      <c r="L113">
        <v>186718.06</v>
      </c>
      <c r="M113">
        <v>0</v>
      </c>
      <c r="N113">
        <v>0</v>
      </c>
      <c r="O113" s="3">
        <v>47</v>
      </c>
      <c r="P113">
        <f>SUM($L$2:L113)</f>
        <v>82267352.339999959</v>
      </c>
      <c r="Q113" s="4">
        <f t="shared" si="5"/>
        <v>0.88439921803959265</v>
      </c>
      <c r="R113">
        <f t="shared" si="6"/>
        <v>3972.7246808510636</v>
      </c>
      <c r="S113">
        <f t="shared" si="7"/>
        <v>3972.7246808510636</v>
      </c>
      <c r="T113">
        <v>112</v>
      </c>
      <c r="U113" s="3">
        <f t="shared" si="9"/>
        <v>6452.2915129151297</v>
      </c>
      <c r="V113">
        <f t="shared" si="8"/>
        <v>57.609745651027943</v>
      </c>
    </row>
    <row r="114" spans="1:22" x14ac:dyDescent="0.45">
      <c r="A114" t="s">
        <v>38</v>
      </c>
      <c r="B114" t="s">
        <v>34</v>
      </c>
      <c r="C114" t="s">
        <v>24</v>
      </c>
      <c r="D114" t="s">
        <v>25</v>
      </c>
      <c r="E114" t="s">
        <v>35</v>
      </c>
      <c r="F114" t="s">
        <v>27</v>
      </c>
      <c r="G114" t="s">
        <v>33</v>
      </c>
      <c r="H114" t="s">
        <v>29</v>
      </c>
      <c r="I114" t="s">
        <v>30</v>
      </c>
      <c r="J114" s="3">
        <v>26</v>
      </c>
      <c r="K114">
        <v>12000</v>
      </c>
      <c r="L114">
        <v>186329.62</v>
      </c>
      <c r="M114">
        <v>0</v>
      </c>
      <c r="N114">
        <v>0</v>
      </c>
      <c r="O114" s="3">
        <v>18</v>
      </c>
      <c r="P114">
        <f>SUM($L$2:L114)</f>
        <v>82453681.959999964</v>
      </c>
      <c r="Q114" s="4">
        <f t="shared" si="5"/>
        <v>0.88640231848634776</v>
      </c>
      <c r="R114">
        <f t="shared" si="6"/>
        <v>10351.645555555555</v>
      </c>
      <c r="S114">
        <f t="shared" si="7"/>
        <v>10351.645555555555</v>
      </c>
      <c r="T114">
        <v>113</v>
      </c>
      <c r="U114" s="3">
        <f t="shared" si="9"/>
        <v>6470.2915129151297</v>
      </c>
      <c r="V114">
        <f t="shared" si="8"/>
        <v>57.259216928452474</v>
      </c>
    </row>
    <row r="115" spans="1:22" x14ac:dyDescent="0.45">
      <c r="A115" t="s">
        <v>22</v>
      </c>
      <c r="B115" t="s">
        <v>34</v>
      </c>
      <c r="C115" t="s">
        <v>24</v>
      </c>
      <c r="D115" t="s">
        <v>31</v>
      </c>
      <c r="E115" t="s">
        <v>26</v>
      </c>
      <c r="F115" t="s">
        <v>27</v>
      </c>
      <c r="G115" t="s">
        <v>33</v>
      </c>
      <c r="H115" t="s">
        <v>36</v>
      </c>
      <c r="I115" t="s">
        <v>30</v>
      </c>
      <c r="J115" s="3">
        <v>51</v>
      </c>
      <c r="K115">
        <v>20000</v>
      </c>
      <c r="L115">
        <v>186287.24</v>
      </c>
      <c r="M115">
        <v>0</v>
      </c>
      <c r="N115">
        <v>0</v>
      </c>
      <c r="O115" s="3">
        <v>6</v>
      </c>
      <c r="P115">
        <f>SUM($L$2:L115)</f>
        <v>82639969.199999958</v>
      </c>
      <c r="Q115" s="4">
        <f t="shared" si="5"/>
        <v>0.88840496333513119</v>
      </c>
      <c r="R115">
        <f t="shared" si="6"/>
        <v>31047.873333333333</v>
      </c>
      <c r="S115">
        <f t="shared" si="7"/>
        <v>31047.873333333333</v>
      </c>
      <c r="T115">
        <v>114</v>
      </c>
      <c r="U115" s="3">
        <f t="shared" si="9"/>
        <v>6476.2915129151297</v>
      </c>
      <c r="V115">
        <f t="shared" si="8"/>
        <v>56.809574674694119</v>
      </c>
    </row>
    <row r="116" spans="1:22" x14ac:dyDescent="0.45">
      <c r="A116" t="s">
        <v>22</v>
      </c>
      <c r="B116" t="s">
        <v>23</v>
      </c>
      <c r="C116" t="s">
        <v>24</v>
      </c>
      <c r="D116" t="s">
        <v>31</v>
      </c>
      <c r="E116" t="s">
        <v>26</v>
      </c>
      <c r="F116" t="s">
        <v>27</v>
      </c>
      <c r="G116" t="s">
        <v>33</v>
      </c>
      <c r="H116" t="s">
        <v>36</v>
      </c>
      <c r="I116" t="s">
        <v>40</v>
      </c>
      <c r="J116" s="3">
        <v>44</v>
      </c>
      <c r="K116">
        <v>2000</v>
      </c>
      <c r="L116">
        <v>184993.2</v>
      </c>
      <c r="M116">
        <v>145001.54999999999</v>
      </c>
      <c r="N116">
        <v>5</v>
      </c>
      <c r="O116" s="3">
        <v>85</v>
      </c>
      <c r="P116">
        <f>SUM($L$2:L116)</f>
        <v>82824962.399999961</v>
      </c>
      <c r="Q116" s="4">
        <f t="shared" si="5"/>
        <v>0.89039369685783498</v>
      </c>
      <c r="R116">
        <f t="shared" si="6"/>
        <v>2176.3905882352942</v>
      </c>
      <c r="S116">
        <f t="shared" si="7"/>
        <v>3882.2911764705882</v>
      </c>
      <c r="T116">
        <v>115</v>
      </c>
      <c r="U116" s="3">
        <f t="shared" si="9"/>
        <v>6561.2915129151297</v>
      </c>
      <c r="V116">
        <f t="shared" si="8"/>
        <v>57.054708807957653</v>
      </c>
    </row>
    <row r="117" spans="1:22" x14ac:dyDescent="0.45">
      <c r="A117" t="s">
        <v>38</v>
      </c>
      <c r="B117" t="s">
        <v>23</v>
      </c>
      <c r="C117" t="s">
        <v>24</v>
      </c>
      <c r="D117" t="s">
        <v>31</v>
      </c>
      <c r="E117" t="s">
        <v>35</v>
      </c>
      <c r="F117" t="s">
        <v>32</v>
      </c>
      <c r="G117" t="s">
        <v>33</v>
      </c>
      <c r="H117" t="s">
        <v>36</v>
      </c>
      <c r="I117" t="s">
        <v>40</v>
      </c>
      <c r="J117" s="3">
        <v>37</v>
      </c>
      <c r="K117">
        <v>1000</v>
      </c>
      <c r="L117">
        <v>181802.7</v>
      </c>
      <c r="M117">
        <v>0</v>
      </c>
      <c r="N117">
        <v>0</v>
      </c>
      <c r="O117" s="3">
        <v>84</v>
      </c>
      <c r="P117">
        <f>SUM($L$2:L117)</f>
        <v>83006765.099999964</v>
      </c>
      <c r="Q117" s="4">
        <f t="shared" si="5"/>
        <v>0.89234813152899084</v>
      </c>
      <c r="R117">
        <f t="shared" si="6"/>
        <v>2164.3178571428571</v>
      </c>
      <c r="S117">
        <f t="shared" si="7"/>
        <v>2164.3178571428571</v>
      </c>
      <c r="T117">
        <v>116</v>
      </c>
      <c r="U117" s="3">
        <f t="shared" si="9"/>
        <v>6645.2915129151297</v>
      </c>
      <c r="V117">
        <f t="shared" si="8"/>
        <v>57.2869958009925</v>
      </c>
    </row>
    <row r="118" spans="1:22" x14ac:dyDescent="0.45">
      <c r="A118" t="s">
        <v>38</v>
      </c>
      <c r="B118" t="s">
        <v>23</v>
      </c>
      <c r="C118" t="s">
        <v>24</v>
      </c>
      <c r="D118" t="s">
        <v>31</v>
      </c>
      <c r="E118" t="s">
        <v>26</v>
      </c>
      <c r="F118" t="s">
        <v>37</v>
      </c>
      <c r="G118" t="s">
        <v>28</v>
      </c>
      <c r="H118" t="s">
        <v>36</v>
      </c>
      <c r="I118" t="s">
        <v>30</v>
      </c>
      <c r="J118" s="3">
        <v>40</v>
      </c>
      <c r="K118">
        <v>6500</v>
      </c>
      <c r="L118">
        <v>181670.08</v>
      </c>
      <c r="M118">
        <v>48864.039999999994</v>
      </c>
      <c r="N118">
        <v>2</v>
      </c>
      <c r="O118" s="3">
        <v>38</v>
      </c>
      <c r="P118">
        <f>SUM($L$2:L118)</f>
        <v>83188435.179999962</v>
      </c>
      <c r="Q118" s="4">
        <f t="shared" si="5"/>
        <v>0.89430114049455434</v>
      </c>
      <c r="R118">
        <f t="shared" si="6"/>
        <v>4780.7915789473682</v>
      </c>
      <c r="S118">
        <f t="shared" si="7"/>
        <v>6066.6873684210523</v>
      </c>
      <c r="T118">
        <v>117</v>
      </c>
      <c r="U118" s="3">
        <f t="shared" si="9"/>
        <v>6683.2915129151297</v>
      </c>
      <c r="V118">
        <f t="shared" si="8"/>
        <v>57.122149683035296</v>
      </c>
    </row>
    <row r="119" spans="1:22" x14ac:dyDescent="0.45">
      <c r="A119" t="s">
        <v>22</v>
      </c>
      <c r="B119" t="s">
        <v>34</v>
      </c>
      <c r="C119" t="s">
        <v>24</v>
      </c>
      <c r="D119" t="s">
        <v>31</v>
      </c>
      <c r="E119" t="s">
        <v>35</v>
      </c>
      <c r="F119" t="s">
        <v>32</v>
      </c>
      <c r="G119" t="s">
        <v>33</v>
      </c>
      <c r="H119" t="s">
        <v>36</v>
      </c>
      <c r="I119" t="s">
        <v>30</v>
      </c>
      <c r="J119" s="3">
        <v>27</v>
      </c>
      <c r="K119">
        <v>1000</v>
      </c>
      <c r="L119">
        <v>181389.7</v>
      </c>
      <c r="M119">
        <v>54711.95</v>
      </c>
      <c r="N119">
        <v>1</v>
      </c>
      <c r="O119" s="3">
        <v>91</v>
      </c>
      <c r="P119">
        <f>SUM($L$2:L119)</f>
        <v>83369824.879999965</v>
      </c>
      <c r="Q119" s="4">
        <f t="shared" si="5"/>
        <v>0.89625113528929912</v>
      </c>
      <c r="R119">
        <f t="shared" si="6"/>
        <v>1993.2934065934066</v>
      </c>
      <c r="S119">
        <f t="shared" si="7"/>
        <v>2594.5236263736265</v>
      </c>
      <c r="T119">
        <v>118</v>
      </c>
      <c r="U119" s="3">
        <f t="shared" si="9"/>
        <v>6774.2915129151297</v>
      </c>
      <c r="V119">
        <f t="shared" si="8"/>
        <v>57.409250109450255</v>
      </c>
    </row>
    <row r="120" spans="1:22" x14ac:dyDescent="0.45">
      <c r="A120" t="s">
        <v>38</v>
      </c>
      <c r="B120" t="s">
        <v>34</v>
      </c>
      <c r="C120" t="s">
        <v>39</v>
      </c>
      <c r="D120" t="s">
        <v>31</v>
      </c>
      <c r="E120" t="s">
        <v>35</v>
      </c>
      <c r="F120" t="s">
        <v>37</v>
      </c>
      <c r="G120" t="s">
        <v>33</v>
      </c>
      <c r="H120" t="s">
        <v>36</v>
      </c>
      <c r="I120" t="s">
        <v>30</v>
      </c>
      <c r="J120" s="3">
        <v>45</v>
      </c>
      <c r="K120">
        <v>2000</v>
      </c>
      <c r="L120">
        <v>175591.25</v>
      </c>
      <c r="M120">
        <v>0</v>
      </c>
      <c r="N120">
        <v>0</v>
      </c>
      <c r="O120" s="3">
        <v>22</v>
      </c>
      <c r="P120">
        <f>SUM($L$2:L120)</f>
        <v>83545416.129999965</v>
      </c>
      <c r="Q120" s="4">
        <f t="shared" si="5"/>
        <v>0.89813879497175486</v>
      </c>
      <c r="R120">
        <f t="shared" si="6"/>
        <v>7981.420454545455</v>
      </c>
      <c r="S120">
        <f t="shared" si="7"/>
        <v>7981.420454545455</v>
      </c>
      <c r="T120">
        <v>119</v>
      </c>
      <c r="U120" s="3">
        <f t="shared" si="9"/>
        <v>6796.2915129151297</v>
      </c>
      <c r="V120">
        <f t="shared" si="8"/>
        <v>57.111693385841427</v>
      </c>
    </row>
    <row r="121" spans="1:22" x14ac:dyDescent="0.45">
      <c r="A121" t="s">
        <v>22</v>
      </c>
      <c r="B121" t="s">
        <v>23</v>
      </c>
      <c r="C121" t="s">
        <v>24</v>
      </c>
      <c r="D121" t="s">
        <v>31</v>
      </c>
      <c r="E121" t="s">
        <v>26</v>
      </c>
      <c r="F121" t="s">
        <v>27</v>
      </c>
      <c r="G121" t="s">
        <v>33</v>
      </c>
      <c r="H121" t="s">
        <v>36</v>
      </c>
      <c r="I121" t="s">
        <v>30</v>
      </c>
      <c r="J121" s="3">
        <v>43</v>
      </c>
      <c r="K121">
        <v>4500</v>
      </c>
      <c r="L121">
        <v>168967.91</v>
      </c>
      <c r="M121">
        <v>100000</v>
      </c>
      <c r="N121">
        <v>1</v>
      </c>
      <c r="O121" s="3">
        <v>71</v>
      </c>
      <c r="P121">
        <f>SUM($L$2:L121)</f>
        <v>83714384.039999962</v>
      </c>
      <c r="Q121" s="4">
        <f t="shared" si="5"/>
        <v>0.89995525172193913</v>
      </c>
      <c r="R121">
        <f t="shared" si="6"/>
        <v>2379.8297183098593</v>
      </c>
      <c r="S121">
        <f t="shared" si="7"/>
        <v>3788.2804225352115</v>
      </c>
      <c r="T121">
        <v>120</v>
      </c>
      <c r="U121" s="3">
        <f t="shared" si="9"/>
        <v>6867.2915129151297</v>
      </c>
      <c r="V121">
        <f t="shared" si="8"/>
        <v>57.227429274292746</v>
      </c>
    </row>
    <row r="122" spans="1:22" x14ac:dyDescent="0.45">
      <c r="A122" t="s">
        <v>22</v>
      </c>
      <c r="B122" t="s">
        <v>23</v>
      </c>
      <c r="C122" t="s">
        <v>24</v>
      </c>
      <c r="D122" t="s">
        <v>31</v>
      </c>
      <c r="E122" t="s">
        <v>26</v>
      </c>
      <c r="F122" t="s">
        <v>27</v>
      </c>
      <c r="G122" t="s">
        <v>33</v>
      </c>
      <c r="H122" t="s">
        <v>29</v>
      </c>
      <c r="I122" t="s">
        <v>40</v>
      </c>
      <c r="J122" s="3">
        <v>29</v>
      </c>
      <c r="K122">
        <v>10000</v>
      </c>
      <c r="L122">
        <v>164856.97</v>
      </c>
      <c r="M122">
        <v>0</v>
      </c>
      <c r="N122">
        <v>0</v>
      </c>
      <c r="O122" s="3">
        <v>23</v>
      </c>
      <c r="P122">
        <f>SUM($L$2:L122)</f>
        <v>83879241.009999961</v>
      </c>
      <c r="Q122" s="4">
        <f t="shared" si="5"/>
        <v>0.90172751460884726</v>
      </c>
      <c r="R122">
        <f t="shared" si="6"/>
        <v>7167.6943478260873</v>
      </c>
      <c r="S122">
        <f t="shared" si="7"/>
        <v>7167.6943478260873</v>
      </c>
      <c r="T122">
        <v>121</v>
      </c>
      <c r="U122" s="3">
        <f t="shared" si="9"/>
        <v>6890.2915129151297</v>
      </c>
      <c r="V122">
        <f t="shared" si="8"/>
        <v>56.944557957976279</v>
      </c>
    </row>
    <row r="123" spans="1:22" x14ac:dyDescent="0.45">
      <c r="A123" t="s">
        <v>38</v>
      </c>
      <c r="B123" t="s">
        <v>34</v>
      </c>
      <c r="C123" t="s">
        <v>39</v>
      </c>
      <c r="D123" t="s">
        <v>31</v>
      </c>
      <c r="E123" t="s">
        <v>35</v>
      </c>
      <c r="F123" t="s">
        <v>32</v>
      </c>
      <c r="G123" t="s">
        <v>33</v>
      </c>
      <c r="H123" t="s">
        <v>36</v>
      </c>
      <c r="I123" t="s">
        <v>30</v>
      </c>
      <c r="J123" s="3">
        <v>41</v>
      </c>
      <c r="K123">
        <v>8000</v>
      </c>
      <c r="L123">
        <v>161368.88</v>
      </c>
      <c r="M123">
        <v>358137.96</v>
      </c>
      <c r="N123">
        <v>11</v>
      </c>
      <c r="O123" s="3">
        <v>73</v>
      </c>
      <c r="P123">
        <f>SUM($L$2:L123)</f>
        <v>84040609.889999956</v>
      </c>
      <c r="Q123" s="4">
        <f t="shared" si="5"/>
        <v>0.90346227946062097</v>
      </c>
      <c r="R123">
        <f t="shared" si="6"/>
        <v>2210.5326027397259</v>
      </c>
      <c r="S123">
        <f t="shared" si="7"/>
        <v>7116.5320547945212</v>
      </c>
      <c r="T123">
        <v>122</v>
      </c>
      <c r="U123" s="3">
        <f t="shared" si="9"/>
        <v>6963.2915129151297</v>
      </c>
      <c r="V123">
        <f t="shared" si="8"/>
        <v>57.076159941927294</v>
      </c>
    </row>
    <row r="124" spans="1:22" x14ac:dyDescent="0.45">
      <c r="A124" t="s">
        <v>22</v>
      </c>
      <c r="B124" t="s">
        <v>34</v>
      </c>
      <c r="C124" t="s">
        <v>24</v>
      </c>
      <c r="D124" t="s">
        <v>31</v>
      </c>
      <c r="E124" t="s">
        <v>26</v>
      </c>
      <c r="F124" t="s">
        <v>32</v>
      </c>
      <c r="G124" t="s">
        <v>33</v>
      </c>
      <c r="H124" t="s">
        <v>29</v>
      </c>
      <c r="I124" t="s">
        <v>30</v>
      </c>
      <c r="J124" s="3">
        <v>45</v>
      </c>
      <c r="K124">
        <v>1000</v>
      </c>
      <c r="L124">
        <v>158282.23999999999</v>
      </c>
      <c r="M124">
        <v>0</v>
      </c>
      <c r="N124">
        <v>0</v>
      </c>
      <c r="O124" s="3">
        <v>90</v>
      </c>
      <c r="P124">
        <f>SUM($L$2:L124)</f>
        <v>84198892.129999951</v>
      </c>
      <c r="Q124" s="4">
        <f t="shared" si="5"/>
        <v>0.90516386198763621</v>
      </c>
      <c r="R124">
        <f t="shared" si="6"/>
        <v>1758.6915555555554</v>
      </c>
      <c r="S124">
        <f t="shared" si="7"/>
        <v>1758.6915555555554</v>
      </c>
      <c r="T124">
        <v>123</v>
      </c>
      <c r="U124" s="3">
        <f t="shared" si="9"/>
        <v>7053.2915129151297</v>
      </c>
      <c r="V124">
        <f t="shared" si="8"/>
        <v>57.343833438334386</v>
      </c>
    </row>
    <row r="125" spans="1:22" x14ac:dyDescent="0.45">
      <c r="A125" t="s">
        <v>22</v>
      </c>
      <c r="B125" t="s">
        <v>23</v>
      </c>
      <c r="C125" t="s">
        <v>24</v>
      </c>
      <c r="D125" t="s">
        <v>31</v>
      </c>
      <c r="E125" t="s">
        <v>35</v>
      </c>
      <c r="F125" t="s">
        <v>27</v>
      </c>
      <c r="G125" t="s">
        <v>33</v>
      </c>
      <c r="H125" t="s">
        <v>36</v>
      </c>
      <c r="I125" t="s">
        <v>30</v>
      </c>
      <c r="J125" s="3">
        <v>55</v>
      </c>
      <c r="K125">
        <v>2500</v>
      </c>
      <c r="L125">
        <v>155462.39000000001</v>
      </c>
      <c r="M125">
        <v>163972.1</v>
      </c>
      <c r="N125">
        <v>4</v>
      </c>
      <c r="O125" s="3">
        <v>91</v>
      </c>
      <c r="P125">
        <f>SUM($L$2:L125)</f>
        <v>84354354.519999951</v>
      </c>
      <c r="Q125" s="4">
        <f t="shared" si="5"/>
        <v>0.90683513026405205</v>
      </c>
      <c r="R125">
        <f t="shared" si="6"/>
        <v>1708.3779120879121</v>
      </c>
      <c r="S125">
        <f t="shared" si="7"/>
        <v>3510.2691208791207</v>
      </c>
      <c r="T125">
        <v>124</v>
      </c>
      <c r="U125" s="3">
        <f t="shared" si="9"/>
        <v>7144.2915129151297</v>
      </c>
      <c r="V125">
        <f t="shared" si="8"/>
        <v>57.615254136412339</v>
      </c>
    </row>
    <row r="126" spans="1:22" x14ac:dyDescent="0.45">
      <c r="A126" t="s">
        <v>38</v>
      </c>
      <c r="B126" t="s">
        <v>34</v>
      </c>
      <c r="C126" t="s">
        <v>24</v>
      </c>
      <c r="D126" t="s">
        <v>31</v>
      </c>
      <c r="E126" t="s">
        <v>35</v>
      </c>
      <c r="F126" t="s">
        <v>32</v>
      </c>
      <c r="G126" t="s">
        <v>33</v>
      </c>
      <c r="H126" t="s">
        <v>36</v>
      </c>
      <c r="I126" t="s">
        <v>30</v>
      </c>
      <c r="J126" s="3">
        <v>31</v>
      </c>
      <c r="K126">
        <v>1500</v>
      </c>
      <c r="L126">
        <v>154840.14000000001</v>
      </c>
      <c r="M126">
        <v>0</v>
      </c>
      <c r="N126">
        <v>0</v>
      </c>
      <c r="O126" s="3">
        <v>23</v>
      </c>
      <c r="P126">
        <f>SUM($L$2:L126)</f>
        <v>84509194.659999952</v>
      </c>
      <c r="Q126" s="4">
        <f t="shared" si="5"/>
        <v>0.90849970916250966</v>
      </c>
      <c r="R126">
        <f t="shared" si="6"/>
        <v>6732.18</v>
      </c>
      <c r="S126">
        <f t="shared" si="7"/>
        <v>6732.18</v>
      </c>
      <c r="T126">
        <v>125</v>
      </c>
      <c r="U126" s="3">
        <f t="shared" si="9"/>
        <v>7167.2915129151297</v>
      </c>
      <c r="V126">
        <f t="shared" si="8"/>
        <v>57.338332103321036</v>
      </c>
    </row>
    <row r="127" spans="1:22" x14ac:dyDescent="0.45">
      <c r="A127" t="s">
        <v>38</v>
      </c>
      <c r="B127" t="s">
        <v>34</v>
      </c>
      <c r="C127" t="s">
        <v>24</v>
      </c>
      <c r="D127" t="s">
        <v>25</v>
      </c>
      <c r="E127" t="s">
        <v>26</v>
      </c>
      <c r="F127" t="s">
        <v>27</v>
      </c>
      <c r="G127" t="s">
        <v>33</v>
      </c>
      <c r="H127" t="s">
        <v>36</v>
      </c>
      <c r="I127" t="s">
        <v>40</v>
      </c>
      <c r="J127" s="3">
        <v>29</v>
      </c>
      <c r="K127">
        <v>5000</v>
      </c>
      <c r="L127">
        <v>151428.26999999999</v>
      </c>
      <c r="M127">
        <v>0</v>
      </c>
      <c r="N127">
        <v>0</v>
      </c>
      <c r="O127" s="3">
        <v>35</v>
      </c>
      <c r="P127">
        <f>SUM($L$2:L127)</f>
        <v>84660622.929999948</v>
      </c>
      <c r="Q127" s="4">
        <f t="shared" si="5"/>
        <v>0.91012760941416238</v>
      </c>
      <c r="R127">
        <f t="shared" si="6"/>
        <v>4326.5219999999999</v>
      </c>
      <c r="S127">
        <f t="shared" si="7"/>
        <v>4326.5219999999999</v>
      </c>
      <c r="T127">
        <v>126</v>
      </c>
      <c r="U127" s="3">
        <f t="shared" si="9"/>
        <v>7202.2915129151297</v>
      </c>
      <c r="V127">
        <f t="shared" si="8"/>
        <v>57.161043753294678</v>
      </c>
    </row>
    <row r="128" spans="1:22" x14ac:dyDescent="0.45">
      <c r="A128" t="s">
        <v>22</v>
      </c>
      <c r="B128" t="s">
        <v>23</v>
      </c>
      <c r="C128" t="s">
        <v>24</v>
      </c>
      <c r="D128" t="s">
        <v>31</v>
      </c>
      <c r="E128" t="s">
        <v>26</v>
      </c>
      <c r="F128" t="s">
        <v>32</v>
      </c>
      <c r="G128" t="s">
        <v>33</v>
      </c>
      <c r="H128" t="s">
        <v>36</v>
      </c>
      <c r="I128" t="s">
        <v>30</v>
      </c>
      <c r="J128" s="3">
        <v>38</v>
      </c>
      <c r="K128">
        <v>2000</v>
      </c>
      <c r="L128">
        <v>149864.54999999999</v>
      </c>
      <c r="M128">
        <v>0</v>
      </c>
      <c r="N128">
        <v>0</v>
      </c>
      <c r="O128" s="3">
        <v>39</v>
      </c>
      <c r="P128">
        <f>SUM($L$2:L128)</f>
        <v>84810487.479999945</v>
      </c>
      <c r="Q128" s="4">
        <f t="shared" si="5"/>
        <v>0.91173869919719175</v>
      </c>
      <c r="R128">
        <f t="shared" si="6"/>
        <v>3842.6807692307689</v>
      </c>
      <c r="S128">
        <f t="shared" si="7"/>
        <v>3842.6807692307689</v>
      </c>
      <c r="T128">
        <v>127</v>
      </c>
      <c r="U128" s="3">
        <f t="shared" si="9"/>
        <v>7241.2915129151297</v>
      </c>
      <c r="V128">
        <f t="shared" si="8"/>
        <v>57.018043408780549</v>
      </c>
    </row>
    <row r="129" spans="1:22" x14ac:dyDescent="0.45">
      <c r="A129" t="s">
        <v>22</v>
      </c>
      <c r="B129" t="s">
        <v>23</v>
      </c>
      <c r="C129" t="s">
        <v>24</v>
      </c>
      <c r="D129" t="s">
        <v>31</v>
      </c>
      <c r="E129" t="s">
        <v>35</v>
      </c>
      <c r="F129" t="s">
        <v>27</v>
      </c>
      <c r="G129" t="s">
        <v>33</v>
      </c>
      <c r="H129" t="s">
        <v>36</v>
      </c>
      <c r="I129" t="s">
        <v>40</v>
      </c>
      <c r="J129" s="3">
        <v>35</v>
      </c>
      <c r="K129">
        <v>1000</v>
      </c>
      <c r="L129">
        <v>149357.09</v>
      </c>
      <c r="M129">
        <v>84759.66</v>
      </c>
      <c r="N129">
        <v>1</v>
      </c>
      <c r="O129" s="3">
        <v>78</v>
      </c>
      <c r="P129">
        <f>SUM($L$2:L129)</f>
        <v>84959844.569999948</v>
      </c>
      <c r="Q129" s="4">
        <f t="shared" si="5"/>
        <v>0.91334433362989786</v>
      </c>
      <c r="R129">
        <f t="shared" si="6"/>
        <v>1914.834487179487</v>
      </c>
      <c r="S129">
        <f t="shared" si="7"/>
        <v>3001.4967948717949</v>
      </c>
      <c r="T129">
        <v>128</v>
      </c>
      <c r="U129" s="3">
        <f t="shared" si="9"/>
        <v>7319.2915129151297</v>
      </c>
      <c r="V129">
        <f t="shared" si="8"/>
        <v>57.181964944649451</v>
      </c>
    </row>
    <row r="130" spans="1:22" x14ac:dyDescent="0.45">
      <c r="A130" t="s">
        <v>22</v>
      </c>
      <c r="B130" t="s">
        <v>23</v>
      </c>
      <c r="C130" t="s">
        <v>24</v>
      </c>
      <c r="D130" t="s">
        <v>31</v>
      </c>
      <c r="E130" t="s">
        <v>26</v>
      </c>
      <c r="F130" t="s">
        <v>27</v>
      </c>
      <c r="G130" t="s">
        <v>33</v>
      </c>
      <c r="H130" t="s">
        <v>36</v>
      </c>
      <c r="I130" t="s">
        <v>30</v>
      </c>
      <c r="J130" s="3">
        <v>38</v>
      </c>
      <c r="K130">
        <v>0</v>
      </c>
      <c r="L130">
        <v>148471.28</v>
      </c>
      <c r="M130">
        <v>0</v>
      </c>
      <c r="N130">
        <v>0</v>
      </c>
      <c r="O130" s="3">
        <v>92</v>
      </c>
      <c r="P130">
        <f>SUM($L$2:L130)</f>
        <v>85108315.849999949</v>
      </c>
      <c r="Q130" s="4">
        <f t="shared" ref="Q130:Q193" si="10">P130/$P$267</f>
        <v>0.91494044533397534</v>
      </c>
      <c r="R130">
        <f t="shared" si="6"/>
        <v>1613.8182608695652</v>
      </c>
      <c r="S130">
        <f t="shared" si="7"/>
        <v>1613.8182608695652</v>
      </c>
      <c r="T130">
        <v>129</v>
      </c>
      <c r="U130" s="3">
        <f t="shared" si="9"/>
        <v>7411.2915129151297</v>
      </c>
      <c r="V130">
        <f t="shared" si="8"/>
        <v>57.451872193140538</v>
      </c>
    </row>
    <row r="131" spans="1:22" x14ac:dyDescent="0.45">
      <c r="A131" t="s">
        <v>22</v>
      </c>
      <c r="B131" t="s">
        <v>34</v>
      </c>
      <c r="C131" t="s">
        <v>24</v>
      </c>
      <c r="D131" t="s">
        <v>25</v>
      </c>
      <c r="E131" t="s">
        <v>26</v>
      </c>
      <c r="F131" t="s">
        <v>32</v>
      </c>
      <c r="G131" t="s">
        <v>33</v>
      </c>
      <c r="H131" t="s">
        <v>36</v>
      </c>
      <c r="I131" t="s">
        <v>30</v>
      </c>
      <c r="J131" s="3">
        <v>29</v>
      </c>
      <c r="K131">
        <v>9000</v>
      </c>
      <c r="L131">
        <v>144910.76999999999</v>
      </c>
      <c r="M131">
        <v>0</v>
      </c>
      <c r="N131">
        <v>0</v>
      </c>
      <c r="O131" s="3">
        <v>7</v>
      </c>
      <c r="P131">
        <f>SUM($L$2:L131)</f>
        <v>85253226.619999945</v>
      </c>
      <c r="Q131" s="4">
        <f t="shared" si="10"/>
        <v>0.9164982804657521</v>
      </c>
      <c r="R131">
        <f t="shared" ref="R131:R194" si="11">L131/O131</f>
        <v>20701.538571428569</v>
      </c>
      <c r="S131">
        <f t="shared" ref="S131:S194" si="12">(L131+M131)/O131</f>
        <v>20701.538571428569</v>
      </c>
      <c r="T131">
        <v>130</v>
      </c>
      <c r="U131" s="3">
        <f t="shared" si="9"/>
        <v>7418.2915129151297</v>
      </c>
      <c r="V131">
        <f t="shared" si="8"/>
        <v>57.063780868577922</v>
      </c>
    </row>
    <row r="132" spans="1:22" x14ac:dyDescent="0.45">
      <c r="A132" t="s">
        <v>22</v>
      </c>
      <c r="B132" t="s">
        <v>23</v>
      </c>
      <c r="C132" t="s">
        <v>24</v>
      </c>
      <c r="D132" t="s">
        <v>31</v>
      </c>
      <c r="E132" t="s">
        <v>26</v>
      </c>
      <c r="F132" t="s">
        <v>32</v>
      </c>
      <c r="G132" t="s">
        <v>28</v>
      </c>
      <c r="H132" t="s">
        <v>36</v>
      </c>
      <c r="I132" t="s">
        <v>30</v>
      </c>
      <c r="J132" s="3">
        <v>44</v>
      </c>
      <c r="K132">
        <v>0</v>
      </c>
      <c r="L132">
        <v>144082.45000000001</v>
      </c>
      <c r="M132">
        <v>0</v>
      </c>
      <c r="N132">
        <v>0</v>
      </c>
      <c r="O132" s="3">
        <v>91</v>
      </c>
      <c r="P132">
        <f>SUM($L$2:L132)</f>
        <v>85397309.069999948</v>
      </c>
      <c r="Q132" s="4">
        <f t="shared" si="10"/>
        <v>0.91804721090399688</v>
      </c>
      <c r="R132">
        <f t="shared" si="11"/>
        <v>1583.3236263736264</v>
      </c>
      <c r="S132">
        <f t="shared" si="12"/>
        <v>1583.3236263736264</v>
      </c>
      <c r="T132">
        <v>131</v>
      </c>
      <c r="U132" s="3">
        <f t="shared" si="9"/>
        <v>7509.2915129151297</v>
      </c>
      <c r="V132">
        <f t="shared" ref="V132:V195" si="13">U132/T132</f>
        <v>57.322835976451373</v>
      </c>
    </row>
    <row r="133" spans="1:22" x14ac:dyDescent="0.45">
      <c r="A133" t="s">
        <v>38</v>
      </c>
      <c r="B133" t="s">
        <v>34</v>
      </c>
      <c r="C133" t="s">
        <v>24</v>
      </c>
      <c r="D133" t="s">
        <v>31</v>
      </c>
      <c r="E133" t="s">
        <v>26</v>
      </c>
      <c r="F133" t="s">
        <v>27</v>
      </c>
      <c r="G133" t="s">
        <v>33</v>
      </c>
      <c r="H133" t="s">
        <v>36</v>
      </c>
      <c r="I133" t="s">
        <v>40</v>
      </c>
      <c r="J133" s="3">
        <v>39</v>
      </c>
      <c r="K133">
        <v>0</v>
      </c>
      <c r="L133">
        <v>144044.85999999999</v>
      </c>
      <c r="M133">
        <v>0</v>
      </c>
      <c r="N133">
        <v>0</v>
      </c>
      <c r="O133" s="3">
        <v>48.940959409594093</v>
      </c>
      <c r="P133">
        <f>SUM($L$2:L133)</f>
        <v>85541353.929999948</v>
      </c>
      <c r="Q133" s="4">
        <f t="shared" si="10"/>
        <v>0.91959573723823607</v>
      </c>
      <c r="R133">
        <f t="shared" si="11"/>
        <v>2943.2373565558319</v>
      </c>
      <c r="S133">
        <f t="shared" si="12"/>
        <v>2943.2373565558319</v>
      </c>
      <c r="T133">
        <v>132</v>
      </c>
      <c r="U133" s="3">
        <f t="shared" ref="U133:U196" si="14">O133+U132</f>
        <v>7558.2324723247239</v>
      </c>
      <c r="V133">
        <f t="shared" si="13"/>
        <v>57.259336911550939</v>
      </c>
    </row>
    <row r="134" spans="1:22" x14ac:dyDescent="0.45">
      <c r="A134" t="s">
        <v>22</v>
      </c>
      <c r="B134" t="s">
        <v>23</v>
      </c>
      <c r="C134" t="s">
        <v>24</v>
      </c>
      <c r="D134" t="s">
        <v>31</v>
      </c>
      <c r="E134" t="s">
        <v>26</v>
      </c>
      <c r="F134" t="s">
        <v>27</v>
      </c>
      <c r="G134" t="s">
        <v>28</v>
      </c>
      <c r="H134" t="s">
        <v>29</v>
      </c>
      <c r="I134" t="s">
        <v>30</v>
      </c>
      <c r="J134" s="3">
        <v>27</v>
      </c>
      <c r="K134">
        <v>0</v>
      </c>
      <c r="L134">
        <v>142318.71</v>
      </c>
      <c r="M134">
        <v>0</v>
      </c>
      <c r="N134">
        <v>0</v>
      </c>
      <c r="O134" s="3">
        <v>48.940959409594093</v>
      </c>
      <c r="P134">
        <f>SUM($L$2:L134)</f>
        <v>85683672.639999941</v>
      </c>
      <c r="Q134" s="4">
        <f t="shared" si="10"/>
        <v>0.92112570693163531</v>
      </c>
      <c r="R134">
        <f t="shared" si="11"/>
        <v>2907.9673083012894</v>
      </c>
      <c r="S134">
        <f t="shared" si="12"/>
        <v>2907.9673083012894</v>
      </c>
      <c r="T134">
        <v>133</v>
      </c>
      <c r="U134" s="3">
        <f t="shared" si="14"/>
        <v>7607.173431734318</v>
      </c>
      <c r="V134">
        <f t="shared" si="13"/>
        <v>57.196792719806901</v>
      </c>
    </row>
    <row r="135" spans="1:22" x14ac:dyDescent="0.45">
      <c r="A135" t="s">
        <v>22</v>
      </c>
      <c r="B135" t="s">
        <v>23</v>
      </c>
      <c r="C135" t="s">
        <v>24</v>
      </c>
      <c r="D135" t="s">
        <v>31</v>
      </c>
      <c r="E135" t="s">
        <v>26</v>
      </c>
      <c r="F135" t="s">
        <v>27</v>
      </c>
      <c r="G135" t="s">
        <v>33</v>
      </c>
      <c r="H135" t="s">
        <v>36</v>
      </c>
      <c r="I135" t="s">
        <v>30</v>
      </c>
      <c r="J135" s="3">
        <v>52</v>
      </c>
      <c r="K135">
        <v>0</v>
      </c>
      <c r="L135">
        <v>140812.76</v>
      </c>
      <c r="M135">
        <v>456000</v>
      </c>
      <c r="N135">
        <v>7</v>
      </c>
      <c r="O135" s="3">
        <v>91</v>
      </c>
      <c r="P135">
        <f>SUM($L$2:L135)</f>
        <v>85824485.399999946</v>
      </c>
      <c r="Q135" s="4">
        <f t="shared" si="10"/>
        <v>0.92263948720159361</v>
      </c>
      <c r="R135">
        <f t="shared" si="11"/>
        <v>1547.3929670329671</v>
      </c>
      <c r="S135">
        <f t="shared" si="12"/>
        <v>6558.3819780219783</v>
      </c>
      <c r="T135">
        <v>134</v>
      </c>
      <c r="U135" s="3">
        <f t="shared" si="14"/>
        <v>7698.173431734318</v>
      </c>
      <c r="V135">
        <f t="shared" si="13"/>
        <v>57.449055460703867</v>
      </c>
    </row>
    <row r="136" spans="1:22" x14ac:dyDescent="0.45">
      <c r="A136" t="s">
        <v>38</v>
      </c>
      <c r="B136" t="s">
        <v>23</v>
      </c>
      <c r="C136" t="s">
        <v>24</v>
      </c>
      <c r="D136" t="s">
        <v>31</v>
      </c>
      <c r="E136" t="s">
        <v>35</v>
      </c>
      <c r="F136" t="s">
        <v>32</v>
      </c>
      <c r="G136" t="s">
        <v>33</v>
      </c>
      <c r="H136" t="s">
        <v>36</v>
      </c>
      <c r="I136" t="s">
        <v>30</v>
      </c>
      <c r="J136" s="3">
        <v>35</v>
      </c>
      <c r="K136">
        <v>2000</v>
      </c>
      <c r="L136">
        <v>139130.5</v>
      </c>
      <c r="M136">
        <v>0</v>
      </c>
      <c r="N136">
        <v>0</v>
      </c>
      <c r="O136" s="3">
        <v>50</v>
      </c>
      <c r="P136">
        <f>SUM($L$2:L136)</f>
        <v>85963615.899999946</v>
      </c>
      <c r="Q136" s="4">
        <f t="shared" si="10"/>
        <v>0.92413518266164585</v>
      </c>
      <c r="R136">
        <f t="shared" si="11"/>
        <v>2782.61</v>
      </c>
      <c r="S136">
        <f t="shared" si="12"/>
        <v>2782.61</v>
      </c>
      <c r="T136">
        <v>135</v>
      </c>
      <c r="U136" s="3">
        <f t="shared" si="14"/>
        <v>7748.173431734318</v>
      </c>
      <c r="V136">
        <f t="shared" si="13"/>
        <v>57.39387727210606</v>
      </c>
    </row>
    <row r="137" spans="1:22" x14ac:dyDescent="0.45">
      <c r="A137" t="s">
        <v>22</v>
      </c>
      <c r="B137" t="s">
        <v>23</v>
      </c>
      <c r="C137" t="s">
        <v>24</v>
      </c>
      <c r="D137" t="s">
        <v>31</v>
      </c>
      <c r="E137" t="s">
        <v>26</v>
      </c>
      <c r="F137" t="s">
        <v>27</v>
      </c>
      <c r="G137" t="s">
        <v>33</v>
      </c>
      <c r="H137" t="s">
        <v>36</v>
      </c>
      <c r="I137" t="s">
        <v>30</v>
      </c>
      <c r="J137" s="3">
        <v>47</v>
      </c>
      <c r="K137">
        <v>5000</v>
      </c>
      <c r="L137">
        <v>137117.04</v>
      </c>
      <c r="M137">
        <v>0</v>
      </c>
      <c r="N137">
        <v>0</v>
      </c>
      <c r="O137" s="3">
        <v>25</v>
      </c>
      <c r="P137">
        <f>SUM($L$2:L137)</f>
        <v>86100732.939999953</v>
      </c>
      <c r="Q137" s="4">
        <f t="shared" si="10"/>
        <v>0.92560923281041851</v>
      </c>
      <c r="R137">
        <f t="shared" si="11"/>
        <v>5484.6815999999999</v>
      </c>
      <c r="S137">
        <f t="shared" si="12"/>
        <v>5484.6815999999999</v>
      </c>
      <c r="T137">
        <v>136</v>
      </c>
      <c r="U137" s="3">
        <f t="shared" si="14"/>
        <v>7773.173431734318</v>
      </c>
      <c r="V137">
        <f t="shared" si="13"/>
        <v>57.155686998046455</v>
      </c>
    </row>
    <row r="138" spans="1:22" x14ac:dyDescent="0.45">
      <c r="A138" t="s">
        <v>38</v>
      </c>
      <c r="B138" t="s">
        <v>34</v>
      </c>
      <c r="C138" t="s">
        <v>24</v>
      </c>
      <c r="D138" t="s">
        <v>31</v>
      </c>
      <c r="E138" t="s">
        <v>26</v>
      </c>
      <c r="F138" t="s">
        <v>27</v>
      </c>
      <c r="G138" t="s">
        <v>33</v>
      </c>
      <c r="H138" t="s">
        <v>36</v>
      </c>
      <c r="I138" t="s">
        <v>30</v>
      </c>
      <c r="J138" s="3">
        <v>32</v>
      </c>
      <c r="K138">
        <v>0</v>
      </c>
      <c r="L138">
        <v>135756.74</v>
      </c>
      <c r="M138">
        <v>104000</v>
      </c>
      <c r="N138">
        <v>25</v>
      </c>
      <c r="O138" s="3">
        <v>69</v>
      </c>
      <c r="P138">
        <f>SUM($L$2:L138)</f>
        <v>86236489.679999948</v>
      </c>
      <c r="Q138" s="4">
        <f t="shared" si="10"/>
        <v>0.92706865931783056</v>
      </c>
      <c r="R138">
        <f t="shared" si="11"/>
        <v>1967.4889855072463</v>
      </c>
      <c r="S138">
        <f t="shared" si="12"/>
        <v>3474.7353623188405</v>
      </c>
      <c r="T138">
        <v>137</v>
      </c>
      <c r="U138" s="3">
        <f t="shared" si="14"/>
        <v>7842.173431734318</v>
      </c>
      <c r="V138">
        <f t="shared" si="13"/>
        <v>57.242141837476773</v>
      </c>
    </row>
    <row r="139" spans="1:22" x14ac:dyDescent="0.45">
      <c r="A139" t="s">
        <v>38</v>
      </c>
      <c r="B139" t="s">
        <v>23</v>
      </c>
      <c r="C139" t="s">
        <v>39</v>
      </c>
      <c r="D139" t="s">
        <v>25</v>
      </c>
      <c r="E139" t="s">
        <v>26</v>
      </c>
      <c r="F139" t="s">
        <v>27</v>
      </c>
      <c r="G139" t="s">
        <v>28</v>
      </c>
      <c r="H139" t="s">
        <v>36</v>
      </c>
      <c r="I139" t="s">
        <v>30</v>
      </c>
      <c r="J139" s="3">
        <v>20</v>
      </c>
      <c r="K139">
        <v>5000</v>
      </c>
      <c r="L139">
        <v>134937.95000000001</v>
      </c>
      <c r="M139">
        <v>0</v>
      </c>
      <c r="N139">
        <v>0</v>
      </c>
      <c r="O139" s="3">
        <v>24</v>
      </c>
      <c r="P139">
        <f>SUM($L$2:L139)</f>
        <v>86371427.629999951</v>
      </c>
      <c r="Q139" s="4">
        <f t="shared" si="10"/>
        <v>0.92851928358212743</v>
      </c>
      <c r="R139">
        <f t="shared" si="11"/>
        <v>5622.4145833333341</v>
      </c>
      <c r="S139">
        <f t="shared" si="12"/>
        <v>5622.4145833333341</v>
      </c>
      <c r="T139">
        <v>138</v>
      </c>
      <c r="U139" s="3">
        <f t="shared" si="14"/>
        <v>7866.173431734318</v>
      </c>
      <c r="V139">
        <f t="shared" si="13"/>
        <v>57.001256751697959</v>
      </c>
    </row>
    <row r="140" spans="1:22" x14ac:dyDescent="0.45">
      <c r="A140" t="s">
        <v>22</v>
      </c>
      <c r="B140" t="s">
        <v>23</v>
      </c>
      <c r="C140" t="s">
        <v>24</v>
      </c>
      <c r="D140" t="s">
        <v>31</v>
      </c>
      <c r="E140" t="s">
        <v>26</v>
      </c>
      <c r="F140" t="s">
        <v>27</v>
      </c>
      <c r="G140" t="s">
        <v>33</v>
      </c>
      <c r="H140" t="s">
        <v>29</v>
      </c>
      <c r="I140" t="s">
        <v>30</v>
      </c>
      <c r="J140" s="3">
        <v>45</v>
      </c>
      <c r="K140">
        <v>3000</v>
      </c>
      <c r="L140">
        <v>133209.45000000001</v>
      </c>
      <c r="M140">
        <v>33567.160000000003</v>
      </c>
      <c r="N140">
        <v>1</v>
      </c>
      <c r="O140" s="3">
        <v>37</v>
      </c>
      <c r="P140">
        <f>SUM($L$2:L140)</f>
        <v>86504637.079999954</v>
      </c>
      <c r="Q140" s="4">
        <f t="shared" si="10"/>
        <v>0.92995132594236529</v>
      </c>
      <c r="R140">
        <f t="shared" si="11"/>
        <v>3600.2554054054058</v>
      </c>
      <c r="S140">
        <f t="shared" si="12"/>
        <v>4507.4759459459465</v>
      </c>
      <c r="T140">
        <v>139</v>
      </c>
      <c r="U140" s="3">
        <f t="shared" si="14"/>
        <v>7903.173431734318</v>
      </c>
      <c r="V140">
        <f t="shared" si="13"/>
        <v>56.857362818232502</v>
      </c>
    </row>
    <row r="141" spans="1:22" x14ac:dyDescent="0.45">
      <c r="A141" t="s">
        <v>22</v>
      </c>
      <c r="B141" t="s">
        <v>23</v>
      </c>
      <c r="C141" t="s">
        <v>24</v>
      </c>
      <c r="D141" t="s">
        <v>31</v>
      </c>
      <c r="E141" t="s">
        <v>26</v>
      </c>
      <c r="F141" t="s">
        <v>32</v>
      </c>
      <c r="G141" t="s">
        <v>33</v>
      </c>
      <c r="H141" t="s">
        <v>29</v>
      </c>
      <c r="I141" t="s">
        <v>30</v>
      </c>
      <c r="J141" s="3">
        <v>43</v>
      </c>
      <c r="K141">
        <v>7000</v>
      </c>
      <c r="L141">
        <v>130768.3</v>
      </c>
      <c r="M141">
        <v>606207.12</v>
      </c>
      <c r="N141">
        <v>11</v>
      </c>
      <c r="O141" s="3">
        <v>47</v>
      </c>
      <c r="P141">
        <f>SUM($L$2:L141)</f>
        <v>86635405.379999951</v>
      </c>
      <c r="Q141" s="4">
        <f t="shared" si="10"/>
        <v>0.93135712519291602</v>
      </c>
      <c r="R141">
        <f t="shared" si="11"/>
        <v>2782.304255319149</v>
      </c>
      <c r="S141">
        <f t="shared" si="12"/>
        <v>15680.328085106385</v>
      </c>
      <c r="T141">
        <v>140</v>
      </c>
      <c r="U141" s="3">
        <f t="shared" si="14"/>
        <v>7950.173431734318</v>
      </c>
      <c r="V141">
        <f t="shared" si="13"/>
        <v>56.786953083816556</v>
      </c>
    </row>
    <row r="142" spans="1:22" x14ac:dyDescent="0.45">
      <c r="A142" t="s">
        <v>38</v>
      </c>
      <c r="B142" t="s">
        <v>23</v>
      </c>
      <c r="C142" t="s">
        <v>39</v>
      </c>
      <c r="D142" t="s">
        <v>25</v>
      </c>
      <c r="E142" t="s">
        <v>26</v>
      </c>
      <c r="F142" t="s">
        <v>37</v>
      </c>
      <c r="G142" t="s">
        <v>28</v>
      </c>
      <c r="H142" t="s">
        <v>29</v>
      </c>
      <c r="I142" t="s">
        <v>30</v>
      </c>
      <c r="J142" s="3">
        <v>21</v>
      </c>
      <c r="K142">
        <v>5000</v>
      </c>
      <c r="L142">
        <v>129903.88</v>
      </c>
      <c r="M142">
        <v>0</v>
      </c>
      <c r="N142">
        <v>0</v>
      </c>
      <c r="O142" s="3">
        <v>32</v>
      </c>
      <c r="P142">
        <f>SUM($L$2:L142)</f>
        <v>86765309.259999946</v>
      </c>
      <c r="Q142" s="4">
        <f t="shared" si="10"/>
        <v>0.93275363166388514</v>
      </c>
      <c r="R142">
        <f t="shared" si="11"/>
        <v>4059.4962500000001</v>
      </c>
      <c r="S142">
        <f t="shared" si="12"/>
        <v>4059.4962500000001</v>
      </c>
      <c r="T142">
        <v>141</v>
      </c>
      <c r="U142" s="3">
        <f t="shared" si="14"/>
        <v>7982.173431734318</v>
      </c>
      <c r="V142">
        <f t="shared" si="13"/>
        <v>56.61115909031431</v>
      </c>
    </row>
    <row r="143" spans="1:22" x14ac:dyDescent="0.45">
      <c r="A143" t="s">
        <v>38</v>
      </c>
      <c r="B143" t="s">
        <v>34</v>
      </c>
      <c r="C143" t="s">
        <v>39</v>
      </c>
      <c r="D143" t="s">
        <v>31</v>
      </c>
      <c r="E143" t="s">
        <v>26</v>
      </c>
      <c r="F143" t="s">
        <v>27</v>
      </c>
      <c r="G143" t="s">
        <v>33</v>
      </c>
      <c r="H143" t="s">
        <v>36</v>
      </c>
      <c r="I143" t="s">
        <v>30</v>
      </c>
      <c r="J143" s="3">
        <v>43</v>
      </c>
      <c r="K143">
        <v>2000</v>
      </c>
      <c r="L143">
        <v>129022.72</v>
      </c>
      <c r="M143">
        <v>0</v>
      </c>
      <c r="N143">
        <v>0</v>
      </c>
      <c r="O143" s="3">
        <v>46</v>
      </c>
      <c r="P143">
        <f>SUM($L$2:L143)</f>
        <v>86894331.979999945</v>
      </c>
      <c r="Q143" s="4">
        <f t="shared" si="10"/>
        <v>0.93414066539514884</v>
      </c>
      <c r="R143">
        <f t="shared" si="11"/>
        <v>2804.8417391304347</v>
      </c>
      <c r="S143">
        <f t="shared" si="12"/>
        <v>2804.8417391304347</v>
      </c>
      <c r="T143">
        <v>142</v>
      </c>
      <c r="U143" s="3">
        <f t="shared" si="14"/>
        <v>8028.173431734318</v>
      </c>
      <c r="V143">
        <f t="shared" si="13"/>
        <v>56.536432617847311</v>
      </c>
    </row>
    <row r="144" spans="1:22" x14ac:dyDescent="0.45">
      <c r="A144" t="s">
        <v>38</v>
      </c>
      <c r="B144" t="s">
        <v>23</v>
      </c>
      <c r="C144" t="s">
        <v>39</v>
      </c>
      <c r="D144" t="s">
        <v>25</v>
      </c>
      <c r="E144" t="s">
        <v>26</v>
      </c>
      <c r="F144" t="s">
        <v>37</v>
      </c>
      <c r="G144" t="s">
        <v>28</v>
      </c>
      <c r="H144" t="s">
        <v>29</v>
      </c>
      <c r="I144" t="s">
        <v>30</v>
      </c>
      <c r="J144" s="3">
        <v>19</v>
      </c>
      <c r="K144">
        <v>3000</v>
      </c>
      <c r="L144">
        <v>128666.64</v>
      </c>
      <c r="M144">
        <v>0</v>
      </c>
      <c r="N144">
        <v>0</v>
      </c>
      <c r="O144" s="3">
        <v>17</v>
      </c>
      <c r="P144">
        <f>SUM($L$2:L144)</f>
        <v>87022998.619999945</v>
      </c>
      <c r="Q144" s="4">
        <f t="shared" si="10"/>
        <v>0.93552387115742364</v>
      </c>
      <c r="R144">
        <f t="shared" si="11"/>
        <v>7568.6258823529415</v>
      </c>
      <c r="S144">
        <f t="shared" si="12"/>
        <v>7568.6258823529415</v>
      </c>
      <c r="T144">
        <v>143</v>
      </c>
      <c r="U144" s="3">
        <f t="shared" si="14"/>
        <v>8045.173431734318</v>
      </c>
      <c r="V144">
        <f t="shared" si="13"/>
        <v>56.259954068072155</v>
      </c>
    </row>
    <row r="145" spans="1:22" x14ac:dyDescent="0.45">
      <c r="A145" t="s">
        <v>22</v>
      </c>
      <c r="B145" t="s">
        <v>34</v>
      </c>
      <c r="C145" t="s">
        <v>24</v>
      </c>
      <c r="D145" t="s">
        <v>31</v>
      </c>
      <c r="E145" t="s">
        <v>26</v>
      </c>
      <c r="F145" t="s">
        <v>27</v>
      </c>
      <c r="G145" t="s">
        <v>33</v>
      </c>
      <c r="H145" t="s">
        <v>36</v>
      </c>
      <c r="I145" t="s">
        <v>30</v>
      </c>
      <c r="J145" s="3">
        <v>40</v>
      </c>
      <c r="K145">
        <v>2000</v>
      </c>
      <c r="L145">
        <v>127333.99</v>
      </c>
      <c r="M145">
        <v>0</v>
      </c>
      <c r="N145">
        <v>0</v>
      </c>
      <c r="O145" s="3">
        <v>49</v>
      </c>
      <c r="P145">
        <f>SUM($L$2:L145)</f>
        <v>87150332.60999994</v>
      </c>
      <c r="Q145" s="4">
        <f t="shared" si="10"/>
        <v>0.9368927505243011</v>
      </c>
      <c r="R145">
        <f t="shared" si="11"/>
        <v>2598.6528571428571</v>
      </c>
      <c r="S145">
        <f t="shared" si="12"/>
        <v>2598.6528571428571</v>
      </c>
      <c r="T145">
        <v>144</v>
      </c>
      <c r="U145" s="3">
        <f t="shared" si="14"/>
        <v>8094.173431734318</v>
      </c>
      <c r="V145">
        <f t="shared" si="13"/>
        <v>56.209537720377206</v>
      </c>
    </row>
    <row r="146" spans="1:22" x14ac:dyDescent="0.45">
      <c r="A146" t="s">
        <v>22</v>
      </c>
      <c r="B146" t="s">
        <v>23</v>
      </c>
      <c r="C146" t="s">
        <v>24</v>
      </c>
      <c r="D146" t="s">
        <v>31</v>
      </c>
      <c r="E146" t="s">
        <v>26</v>
      </c>
      <c r="F146" t="s">
        <v>32</v>
      </c>
      <c r="G146" t="s">
        <v>33</v>
      </c>
      <c r="H146" t="s">
        <v>29</v>
      </c>
      <c r="I146" t="s">
        <v>30</v>
      </c>
      <c r="J146" s="3">
        <v>34</v>
      </c>
      <c r="K146">
        <v>5000</v>
      </c>
      <c r="L146">
        <v>118336.93</v>
      </c>
      <c r="M146">
        <v>0</v>
      </c>
      <c r="N146">
        <v>0</v>
      </c>
      <c r="O146" s="3">
        <v>21</v>
      </c>
      <c r="P146">
        <f>SUM($L$2:L146)</f>
        <v>87268669.539999947</v>
      </c>
      <c r="Q146" s="4">
        <f t="shared" si="10"/>
        <v>0.93816490874235914</v>
      </c>
      <c r="R146">
        <f t="shared" si="11"/>
        <v>5635.0919047619045</v>
      </c>
      <c r="S146">
        <f t="shared" si="12"/>
        <v>5635.0919047619045</v>
      </c>
      <c r="T146">
        <v>145</v>
      </c>
      <c r="U146" s="3">
        <f t="shared" si="14"/>
        <v>8115.173431734318</v>
      </c>
      <c r="V146">
        <f t="shared" si="13"/>
        <v>55.966713322305644</v>
      </c>
    </row>
    <row r="147" spans="1:22" x14ac:dyDescent="0.45">
      <c r="A147" t="s">
        <v>22</v>
      </c>
      <c r="B147" t="s">
        <v>34</v>
      </c>
      <c r="C147" t="s">
        <v>24</v>
      </c>
      <c r="D147" t="s">
        <v>31</v>
      </c>
      <c r="E147" t="s">
        <v>26</v>
      </c>
      <c r="F147" t="s">
        <v>27</v>
      </c>
      <c r="G147" t="s">
        <v>33</v>
      </c>
      <c r="H147" t="s">
        <v>29</v>
      </c>
      <c r="I147" t="s">
        <v>30</v>
      </c>
      <c r="J147" s="3">
        <v>45</v>
      </c>
      <c r="K147">
        <v>5000</v>
      </c>
      <c r="L147">
        <v>117910.09</v>
      </c>
      <c r="M147">
        <v>0</v>
      </c>
      <c r="N147">
        <v>0</v>
      </c>
      <c r="O147" s="3">
        <v>21</v>
      </c>
      <c r="P147">
        <f>SUM($L$2:L147)</f>
        <v>87386579.629999951</v>
      </c>
      <c r="Q147" s="4">
        <f t="shared" si="10"/>
        <v>0.93943247829977006</v>
      </c>
      <c r="R147">
        <f t="shared" si="11"/>
        <v>5614.7661904761899</v>
      </c>
      <c r="S147">
        <f t="shared" si="12"/>
        <v>5614.7661904761899</v>
      </c>
      <c r="T147">
        <v>146</v>
      </c>
      <c r="U147" s="3">
        <f t="shared" si="14"/>
        <v>8136.173431734318</v>
      </c>
      <c r="V147">
        <f t="shared" si="13"/>
        <v>55.727215285851493</v>
      </c>
    </row>
    <row r="148" spans="1:22" x14ac:dyDescent="0.45">
      <c r="A148" t="s">
        <v>38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28</v>
      </c>
      <c r="H148" t="s">
        <v>36</v>
      </c>
      <c r="I148" t="s">
        <v>30</v>
      </c>
      <c r="J148" s="3">
        <v>24</v>
      </c>
      <c r="K148">
        <v>2000</v>
      </c>
      <c r="L148">
        <v>117081.81</v>
      </c>
      <c r="M148">
        <v>0</v>
      </c>
      <c r="N148">
        <v>0</v>
      </c>
      <c r="O148" s="3">
        <v>64</v>
      </c>
      <c r="P148">
        <f>SUM($L$2:L148)</f>
        <v>87503661.439999953</v>
      </c>
      <c r="Q148" s="4">
        <f t="shared" si="10"/>
        <v>0.94069114359366113</v>
      </c>
      <c r="R148">
        <f t="shared" si="11"/>
        <v>1829.40328125</v>
      </c>
      <c r="S148">
        <f t="shared" si="12"/>
        <v>1829.40328125</v>
      </c>
      <c r="T148">
        <v>147</v>
      </c>
      <c r="U148" s="3">
        <f t="shared" si="14"/>
        <v>8200.173431734318</v>
      </c>
      <c r="V148">
        <f t="shared" si="13"/>
        <v>55.783492732886515</v>
      </c>
    </row>
    <row r="149" spans="1:22" x14ac:dyDescent="0.45">
      <c r="A149" t="s">
        <v>38</v>
      </c>
      <c r="B149" t="s">
        <v>34</v>
      </c>
      <c r="C149" t="s">
        <v>24</v>
      </c>
      <c r="D149" t="s">
        <v>31</v>
      </c>
      <c r="E149" t="s">
        <v>35</v>
      </c>
      <c r="F149" t="s">
        <v>27</v>
      </c>
      <c r="G149" t="s">
        <v>33</v>
      </c>
      <c r="H149" t="s">
        <v>36</v>
      </c>
      <c r="I149" t="s">
        <v>30</v>
      </c>
      <c r="J149" s="3">
        <v>52</v>
      </c>
      <c r="K149">
        <v>5000</v>
      </c>
      <c r="L149">
        <v>114448.14</v>
      </c>
      <c r="M149">
        <v>130000</v>
      </c>
      <c r="N149">
        <v>2</v>
      </c>
      <c r="O149" s="3">
        <v>33</v>
      </c>
      <c r="P149">
        <f>SUM($L$2:L149)</f>
        <v>87618109.579999954</v>
      </c>
      <c r="Q149" s="4">
        <f t="shared" si="10"/>
        <v>0.94192149612893861</v>
      </c>
      <c r="R149">
        <f t="shared" si="11"/>
        <v>3468.1254545454544</v>
      </c>
      <c r="S149">
        <f t="shared" si="12"/>
        <v>7407.5193939393939</v>
      </c>
      <c r="T149">
        <v>148</v>
      </c>
      <c r="U149" s="3">
        <f t="shared" si="14"/>
        <v>8233.173431734318</v>
      </c>
      <c r="V149">
        <f t="shared" si="13"/>
        <v>55.629550214421066</v>
      </c>
    </row>
    <row r="150" spans="1:22" x14ac:dyDescent="0.45">
      <c r="A150" t="s">
        <v>38</v>
      </c>
      <c r="B150" t="s">
        <v>23</v>
      </c>
      <c r="C150" t="s">
        <v>24</v>
      </c>
      <c r="D150" t="s">
        <v>31</v>
      </c>
      <c r="E150" t="s">
        <v>26</v>
      </c>
      <c r="F150" t="s">
        <v>32</v>
      </c>
      <c r="G150" t="s">
        <v>33</v>
      </c>
      <c r="H150" t="s">
        <v>36</v>
      </c>
      <c r="I150" t="s">
        <v>30</v>
      </c>
      <c r="J150" s="3">
        <v>48</v>
      </c>
      <c r="K150">
        <v>1000</v>
      </c>
      <c r="L150">
        <v>110980.71</v>
      </c>
      <c r="M150">
        <v>31403.99</v>
      </c>
      <c r="N150">
        <v>1</v>
      </c>
      <c r="O150" s="3">
        <v>70</v>
      </c>
      <c r="P150">
        <f>SUM($L$2:L150)</f>
        <v>87729090.289999947</v>
      </c>
      <c r="Q150" s="4">
        <f t="shared" si="10"/>
        <v>0.94311457273040533</v>
      </c>
      <c r="R150">
        <f t="shared" si="11"/>
        <v>1585.4387142857145</v>
      </c>
      <c r="S150">
        <f t="shared" si="12"/>
        <v>2034.0671428571429</v>
      </c>
      <c r="T150">
        <v>149</v>
      </c>
      <c r="U150" s="3">
        <f t="shared" si="14"/>
        <v>8303.173431734318</v>
      </c>
      <c r="V150">
        <f t="shared" si="13"/>
        <v>55.725996186136364</v>
      </c>
    </row>
    <row r="151" spans="1:22" x14ac:dyDescent="0.45">
      <c r="A151" t="s">
        <v>38</v>
      </c>
      <c r="B151" t="s">
        <v>23</v>
      </c>
      <c r="C151" t="s">
        <v>24</v>
      </c>
      <c r="D151" t="s">
        <v>31</v>
      </c>
      <c r="E151" t="s">
        <v>26</v>
      </c>
      <c r="F151" t="s">
        <v>27</v>
      </c>
      <c r="G151" t="s">
        <v>33</v>
      </c>
      <c r="H151" t="s">
        <v>36</v>
      </c>
      <c r="I151" t="s">
        <v>30</v>
      </c>
      <c r="J151" s="3">
        <v>38</v>
      </c>
      <c r="K151">
        <v>2000</v>
      </c>
      <c r="L151">
        <v>110073.56</v>
      </c>
      <c r="M151">
        <v>0</v>
      </c>
      <c r="N151">
        <v>0</v>
      </c>
      <c r="O151" s="3">
        <v>7</v>
      </c>
      <c r="P151">
        <f>SUM($L$2:L151)</f>
        <v>87839163.849999949</v>
      </c>
      <c r="Q151" s="4">
        <f t="shared" si="10"/>
        <v>0.94429789719171175</v>
      </c>
      <c r="R151">
        <f t="shared" si="11"/>
        <v>15724.794285714286</v>
      </c>
      <c r="S151">
        <f t="shared" si="12"/>
        <v>15724.794285714286</v>
      </c>
      <c r="T151">
        <v>150</v>
      </c>
      <c r="U151" s="3">
        <f t="shared" si="14"/>
        <v>8310.173431734318</v>
      </c>
      <c r="V151">
        <f t="shared" si="13"/>
        <v>55.401156211562117</v>
      </c>
    </row>
    <row r="152" spans="1:22" x14ac:dyDescent="0.45">
      <c r="A152" t="s">
        <v>38</v>
      </c>
      <c r="B152" t="s">
        <v>34</v>
      </c>
      <c r="C152" t="s">
        <v>39</v>
      </c>
      <c r="D152" t="s">
        <v>25</v>
      </c>
      <c r="E152" t="s">
        <v>26</v>
      </c>
      <c r="F152" t="s">
        <v>37</v>
      </c>
      <c r="G152" t="s">
        <v>33</v>
      </c>
      <c r="H152" t="s">
        <v>36</v>
      </c>
      <c r="I152" t="s">
        <v>40</v>
      </c>
      <c r="J152" s="3">
        <v>64</v>
      </c>
      <c r="K152">
        <v>3000</v>
      </c>
      <c r="L152">
        <v>109314</v>
      </c>
      <c r="M152">
        <v>0</v>
      </c>
      <c r="N152">
        <v>0</v>
      </c>
      <c r="O152" s="3">
        <v>30</v>
      </c>
      <c r="P152">
        <f>SUM($L$2:L152)</f>
        <v>87948477.849999949</v>
      </c>
      <c r="Q152" s="4">
        <f t="shared" si="10"/>
        <v>0.94547305615053212</v>
      </c>
      <c r="R152">
        <f t="shared" si="11"/>
        <v>3643.8</v>
      </c>
      <c r="S152">
        <f t="shared" si="12"/>
        <v>3643.8</v>
      </c>
      <c r="T152">
        <v>151</v>
      </c>
      <c r="U152" s="3">
        <f t="shared" si="14"/>
        <v>8340.173431734318</v>
      </c>
      <c r="V152">
        <f t="shared" si="13"/>
        <v>55.232936634002108</v>
      </c>
    </row>
    <row r="153" spans="1:22" x14ac:dyDescent="0.45">
      <c r="A153" t="s">
        <v>22</v>
      </c>
      <c r="B153" t="s">
        <v>23</v>
      </c>
      <c r="C153" t="s">
        <v>24</v>
      </c>
      <c r="D153" t="s">
        <v>31</v>
      </c>
      <c r="E153" t="s">
        <v>35</v>
      </c>
      <c r="F153" t="s">
        <v>37</v>
      </c>
      <c r="G153" t="s">
        <v>33</v>
      </c>
      <c r="H153" t="s">
        <v>36</v>
      </c>
      <c r="I153" t="s">
        <v>30</v>
      </c>
      <c r="J153" s="3">
        <v>41</v>
      </c>
      <c r="K153">
        <v>15000</v>
      </c>
      <c r="L153">
        <v>107422.39</v>
      </c>
      <c r="M153">
        <v>0</v>
      </c>
      <c r="N153">
        <v>0</v>
      </c>
      <c r="O153" s="3">
        <v>7</v>
      </c>
      <c r="P153">
        <f>SUM($L$2:L153)</f>
        <v>88055900.23999995</v>
      </c>
      <c r="Q153" s="4">
        <f t="shared" si="10"/>
        <v>0.94662787972286855</v>
      </c>
      <c r="R153">
        <f t="shared" si="11"/>
        <v>15346.055714285714</v>
      </c>
      <c r="S153">
        <f t="shared" si="12"/>
        <v>15346.055714285714</v>
      </c>
      <c r="T153">
        <v>152</v>
      </c>
      <c r="U153" s="3">
        <f t="shared" si="14"/>
        <v>8347.173431734318</v>
      </c>
      <c r="V153">
        <f t="shared" si="13"/>
        <v>54.915614682462618</v>
      </c>
    </row>
    <row r="154" spans="1:22" x14ac:dyDescent="0.45">
      <c r="A154" t="s">
        <v>38</v>
      </c>
      <c r="B154" t="s">
        <v>34</v>
      </c>
      <c r="C154" t="s">
        <v>39</v>
      </c>
      <c r="D154" t="s">
        <v>31</v>
      </c>
      <c r="E154" t="s">
        <v>35</v>
      </c>
      <c r="F154" t="s">
        <v>37</v>
      </c>
      <c r="G154" t="s">
        <v>33</v>
      </c>
      <c r="H154" t="s">
        <v>36</v>
      </c>
      <c r="I154" t="s">
        <v>30</v>
      </c>
      <c r="J154" s="3">
        <v>42</v>
      </c>
      <c r="K154">
        <v>15000</v>
      </c>
      <c r="L154">
        <v>106844.87</v>
      </c>
      <c r="M154">
        <v>0</v>
      </c>
      <c r="N154">
        <v>0</v>
      </c>
      <c r="O154" s="3">
        <v>7</v>
      </c>
      <c r="P154">
        <f>SUM($L$2:L154)</f>
        <v>88162745.109999955</v>
      </c>
      <c r="Q154" s="4">
        <f t="shared" si="10"/>
        <v>0.94777649477843784</v>
      </c>
      <c r="R154">
        <f t="shared" si="11"/>
        <v>15263.552857142857</v>
      </c>
      <c r="S154">
        <f t="shared" si="12"/>
        <v>15263.552857142857</v>
      </c>
      <c r="T154">
        <v>153</v>
      </c>
      <c r="U154" s="3">
        <f t="shared" si="14"/>
        <v>8354.173431734318</v>
      </c>
      <c r="V154">
        <f t="shared" si="13"/>
        <v>54.602440730289658</v>
      </c>
    </row>
    <row r="155" spans="1:22" x14ac:dyDescent="0.45">
      <c r="A155" t="s">
        <v>22</v>
      </c>
      <c r="B155" t="s">
        <v>23</v>
      </c>
      <c r="C155" t="s">
        <v>24</v>
      </c>
      <c r="D155" t="s">
        <v>31</v>
      </c>
      <c r="E155" t="s">
        <v>26</v>
      </c>
      <c r="F155" t="s">
        <v>32</v>
      </c>
      <c r="G155" t="s">
        <v>33</v>
      </c>
      <c r="H155" t="s">
        <v>29</v>
      </c>
      <c r="I155" t="s">
        <v>30</v>
      </c>
      <c r="J155" s="3">
        <v>31</v>
      </c>
      <c r="K155">
        <v>15000</v>
      </c>
      <c r="L155">
        <v>104708.39</v>
      </c>
      <c r="M155">
        <v>0</v>
      </c>
      <c r="N155">
        <v>0</v>
      </c>
      <c r="O155" s="3">
        <v>8</v>
      </c>
      <c r="P155">
        <f>SUM($L$2:L155)</f>
        <v>88267453.499999955</v>
      </c>
      <c r="Q155" s="4">
        <f t="shared" si="10"/>
        <v>0.9489021420200735</v>
      </c>
      <c r="R155">
        <f t="shared" si="11"/>
        <v>13088.54875</v>
      </c>
      <c r="S155">
        <f t="shared" si="12"/>
        <v>13088.54875</v>
      </c>
      <c r="T155">
        <v>154</v>
      </c>
      <c r="U155" s="3">
        <f t="shared" si="14"/>
        <v>8362.173431734318</v>
      </c>
      <c r="V155">
        <f t="shared" si="13"/>
        <v>54.299827478794271</v>
      </c>
    </row>
    <row r="156" spans="1:22" x14ac:dyDescent="0.45">
      <c r="A156" t="s">
        <v>38</v>
      </c>
      <c r="B156" t="s">
        <v>34</v>
      </c>
      <c r="C156" t="s">
        <v>39</v>
      </c>
      <c r="D156" t="s">
        <v>31</v>
      </c>
      <c r="E156" t="s">
        <v>26</v>
      </c>
      <c r="F156" t="s">
        <v>27</v>
      </c>
      <c r="G156" t="s">
        <v>33</v>
      </c>
      <c r="H156" t="s">
        <v>36</v>
      </c>
      <c r="I156" t="s">
        <v>30</v>
      </c>
      <c r="J156" s="3">
        <v>62</v>
      </c>
      <c r="K156">
        <v>2000</v>
      </c>
      <c r="L156">
        <v>104005.89</v>
      </c>
      <c r="M156">
        <v>0</v>
      </c>
      <c r="N156">
        <v>0</v>
      </c>
      <c r="O156" s="3">
        <v>40</v>
      </c>
      <c r="P156">
        <f>SUM($L$2:L156)</f>
        <v>88371459.389999956</v>
      </c>
      <c r="Q156" s="4">
        <f t="shared" si="10"/>
        <v>0.95002023717168793</v>
      </c>
      <c r="R156">
        <f t="shared" si="11"/>
        <v>2600.14725</v>
      </c>
      <c r="S156">
        <f t="shared" si="12"/>
        <v>2600.14725</v>
      </c>
      <c r="T156">
        <v>155</v>
      </c>
      <c r="U156" s="3">
        <f t="shared" si="14"/>
        <v>8402.173431734318</v>
      </c>
      <c r="V156">
        <f t="shared" si="13"/>
        <v>54.207570527318182</v>
      </c>
    </row>
    <row r="157" spans="1:22" x14ac:dyDescent="0.45">
      <c r="A157" t="s">
        <v>22</v>
      </c>
      <c r="B157" t="s">
        <v>23</v>
      </c>
      <c r="C157" t="s">
        <v>24</v>
      </c>
      <c r="D157" t="s">
        <v>31</v>
      </c>
      <c r="E157" t="s">
        <v>35</v>
      </c>
      <c r="F157" t="s">
        <v>32</v>
      </c>
      <c r="G157" t="s">
        <v>33</v>
      </c>
      <c r="H157" t="s">
        <v>36</v>
      </c>
      <c r="I157" t="s">
        <v>40</v>
      </c>
      <c r="J157" s="3">
        <v>35</v>
      </c>
      <c r="K157">
        <v>1000</v>
      </c>
      <c r="L157">
        <v>103764.58</v>
      </c>
      <c r="M157">
        <v>0</v>
      </c>
      <c r="N157">
        <v>0</v>
      </c>
      <c r="O157" s="3">
        <v>73</v>
      </c>
      <c r="P157">
        <f>SUM($L$2:L157)</f>
        <v>88475223.969999954</v>
      </c>
      <c r="Q157" s="4">
        <f t="shared" si="10"/>
        <v>0.95113573816694219</v>
      </c>
      <c r="R157">
        <f t="shared" si="11"/>
        <v>1421.432602739726</v>
      </c>
      <c r="S157">
        <f t="shared" si="12"/>
        <v>1421.432602739726</v>
      </c>
      <c r="T157">
        <v>156</v>
      </c>
      <c r="U157" s="3">
        <f t="shared" si="14"/>
        <v>8475.173431734318</v>
      </c>
      <c r="V157">
        <f t="shared" si="13"/>
        <v>54.328034818809734</v>
      </c>
    </row>
    <row r="158" spans="1:22" x14ac:dyDescent="0.45">
      <c r="A158" t="s">
        <v>38</v>
      </c>
      <c r="B158" t="s">
        <v>23</v>
      </c>
      <c r="C158" t="s">
        <v>24</v>
      </c>
      <c r="D158" t="s">
        <v>31</v>
      </c>
      <c r="E158" t="s">
        <v>26</v>
      </c>
      <c r="F158" t="s">
        <v>37</v>
      </c>
      <c r="G158" t="s">
        <v>28</v>
      </c>
      <c r="H158" t="s">
        <v>29</v>
      </c>
      <c r="I158" t="s">
        <v>40</v>
      </c>
      <c r="J158" s="3">
        <v>41</v>
      </c>
      <c r="K158">
        <v>3000</v>
      </c>
      <c r="L158">
        <v>102960.15</v>
      </c>
      <c r="M158">
        <v>0</v>
      </c>
      <c r="N158">
        <v>0</v>
      </c>
      <c r="O158" s="3">
        <v>30</v>
      </c>
      <c r="P158">
        <f>SUM($L$2:L158)</f>
        <v>88578184.11999996</v>
      </c>
      <c r="Q158" s="4">
        <f t="shared" si="10"/>
        <v>0.95224259129347666</v>
      </c>
      <c r="R158">
        <f t="shared" si="11"/>
        <v>3432.0049999999997</v>
      </c>
      <c r="S158">
        <f t="shared" si="12"/>
        <v>3432.0049999999997</v>
      </c>
      <c r="T158">
        <v>157</v>
      </c>
      <c r="U158" s="3">
        <f t="shared" si="14"/>
        <v>8505.173431734318</v>
      </c>
      <c r="V158">
        <f t="shared" si="13"/>
        <v>54.17307918302113</v>
      </c>
    </row>
    <row r="159" spans="1:22" x14ac:dyDescent="0.45">
      <c r="A159" t="s">
        <v>22</v>
      </c>
      <c r="B159" t="s">
        <v>23</v>
      </c>
      <c r="C159" t="s">
        <v>24</v>
      </c>
      <c r="D159" t="s">
        <v>31</v>
      </c>
      <c r="E159" t="s">
        <v>26</v>
      </c>
      <c r="F159" t="s">
        <v>27</v>
      </c>
      <c r="G159" t="s">
        <v>33</v>
      </c>
      <c r="H159" t="s">
        <v>36</v>
      </c>
      <c r="I159" t="s">
        <v>30</v>
      </c>
      <c r="J159" s="3">
        <v>48</v>
      </c>
      <c r="K159">
        <v>1000</v>
      </c>
      <c r="L159">
        <v>100007.11</v>
      </c>
      <c r="M159">
        <v>0</v>
      </c>
      <c r="N159">
        <v>0</v>
      </c>
      <c r="O159" s="3">
        <v>67</v>
      </c>
      <c r="P159">
        <f>SUM($L$2:L159)</f>
        <v>88678191.229999959</v>
      </c>
      <c r="Q159" s="4">
        <f t="shared" si="10"/>
        <v>0.95331769833614488</v>
      </c>
      <c r="R159">
        <f t="shared" si="11"/>
        <v>1492.6434328358209</v>
      </c>
      <c r="S159">
        <f t="shared" si="12"/>
        <v>1492.6434328358209</v>
      </c>
      <c r="T159">
        <v>158</v>
      </c>
      <c r="U159" s="3">
        <f t="shared" si="14"/>
        <v>8572.173431734318</v>
      </c>
      <c r="V159">
        <f t="shared" si="13"/>
        <v>54.254262226166567</v>
      </c>
    </row>
    <row r="160" spans="1:22" x14ac:dyDescent="0.45">
      <c r="A160" t="s">
        <v>22</v>
      </c>
      <c r="B160" t="s">
        <v>23</v>
      </c>
      <c r="C160" t="s">
        <v>24</v>
      </c>
      <c r="D160" t="s">
        <v>31</v>
      </c>
      <c r="E160" t="s">
        <v>26</v>
      </c>
      <c r="F160" t="s">
        <v>27</v>
      </c>
      <c r="G160" t="s">
        <v>33</v>
      </c>
      <c r="H160" t="s">
        <v>36</v>
      </c>
      <c r="I160" t="s">
        <v>30</v>
      </c>
      <c r="J160" s="3">
        <v>49</v>
      </c>
      <c r="K160">
        <v>0</v>
      </c>
      <c r="L160">
        <v>99272.320000000007</v>
      </c>
      <c r="M160">
        <v>1177391.0900000001</v>
      </c>
      <c r="N160">
        <v>11</v>
      </c>
      <c r="O160" s="3">
        <v>92</v>
      </c>
      <c r="P160">
        <f>SUM($L$2:L160)</f>
        <v>88777463.549999952</v>
      </c>
      <c r="Q160" s="4">
        <f t="shared" si="10"/>
        <v>0.95438490616140859</v>
      </c>
      <c r="R160">
        <f t="shared" si="11"/>
        <v>1079.0469565217393</v>
      </c>
      <c r="S160">
        <f t="shared" si="12"/>
        <v>13876.776195652175</v>
      </c>
      <c r="T160">
        <v>159</v>
      </c>
      <c r="U160" s="3">
        <f t="shared" si="14"/>
        <v>8664.173431734318</v>
      </c>
      <c r="V160">
        <f t="shared" si="13"/>
        <v>54.491656803360492</v>
      </c>
    </row>
    <row r="161" spans="1:22" x14ac:dyDescent="0.45">
      <c r="A161" t="s">
        <v>22</v>
      </c>
      <c r="B161" t="s">
        <v>23</v>
      </c>
      <c r="C161" t="s">
        <v>24</v>
      </c>
      <c r="D161" t="s">
        <v>31</v>
      </c>
      <c r="E161" t="s">
        <v>26</v>
      </c>
      <c r="F161" t="s">
        <v>27</v>
      </c>
      <c r="G161" t="s">
        <v>33</v>
      </c>
      <c r="H161" t="s">
        <v>29</v>
      </c>
      <c r="I161" t="s">
        <v>40</v>
      </c>
      <c r="J161" s="3">
        <v>29</v>
      </c>
      <c r="K161">
        <v>4000</v>
      </c>
      <c r="L161">
        <v>96560.31</v>
      </c>
      <c r="M161">
        <v>199318.41</v>
      </c>
      <c r="N161">
        <v>22</v>
      </c>
      <c r="O161" s="3">
        <v>78</v>
      </c>
      <c r="P161">
        <f>SUM($L$2:L161)</f>
        <v>88874023.859999955</v>
      </c>
      <c r="Q161" s="4">
        <f t="shared" si="10"/>
        <v>0.95542295904908048</v>
      </c>
      <c r="R161">
        <f t="shared" si="11"/>
        <v>1237.9526923076924</v>
      </c>
      <c r="S161">
        <f t="shared" si="12"/>
        <v>3793.3169230769226</v>
      </c>
      <c r="T161">
        <v>160</v>
      </c>
      <c r="U161" s="3">
        <f t="shared" si="14"/>
        <v>8742.173431734318</v>
      </c>
      <c r="V161">
        <f t="shared" si="13"/>
        <v>54.638583948339488</v>
      </c>
    </row>
    <row r="162" spans="1:22" x14ac:dyDescent="0.45">
      <c r="A162" t="s">
        <v>22</v>
      </c>
      <c r="B162" t="s">
        <v>23</v>
      </c>
      <c r="C162" t="s">
        <v>24</v>
      </c>
      <c r="D162" t="s">
        <v>31</v>
      </c>
      <c r="E162" t="s">
        <v>26</v>
      </c>
      <c r="F162" t="s">
        <v>27</v>
      </c>
      <c r="G162" t="s">
        <v>33</v>
      </c>
      <c r="H162" t="s">
        <v>36</v>
      </c>
      <c r="I162" t="s">
        <v>30</v>
      </c>
      <c r="J162" s="3">
        <v>50</v>
      </c>
      <c r="K162">
        <v>0</v>
      </c>
      <c r="L162">
        <v>96282.85</v>
      </c>
      <c r="M162">
        <v>0</v>
      </c>
      <c r="N162">
        <v>0</v>
      </c>
      <c r="O162" s="3">
        <v>48.940959409594093</v>
      </c>
      <c r="P162">
        <f>SUM($L$2:L162)</f>
        <v>88970306.709999949</v>
      </c>
      <c r="Q162" s="4">
        <f t="shared" si="10"/>
        <v>0.95645802915682743</v>
      </c>
      <c r="R162">
        <f t="shared" si="11"/>
        <v>1967.3265739274675</v>
      </c>
      <c r="S162">
        <f t="shared" si="12"/>
        <v>1967.3265739274675</v>
      </c>
      <c r="T162">
        <v>161</v>
      </c>
      <c r="U162" s="3">
        <f t="shared" si="14"/>
        <v>8791.1143911439121</v>
      </c>
      <c r="V162">
        <f t="shared" si="13"/>
        <v>54.603194976049146</v>
      </c>
    </row>
    <row r="163" spans="1:22" x14ac:dyDescent="0.45">
      <c r="A163" t="s">
        <v>22</v>
      </c>
      <c r="B163" t="s">
        <v>34</v>
      </c>
      <c r="C163" t="s">
        <v>24</v>
      </c>
      <c r="D163" t="s">
        <v>31</v>
      </c>
      <c r="E163" t="s">
        <v>26</v>
      </c>
      <c r="F163" t="s">
        <v>32</v>
      </c>
      <c r="G163" t="s">
        <v>33</v>
      </c>
      <c r="H163" t="s">
        <v>29</v>
      </c>
      <c r="I163" t="s">
        <v>30</v>
      </c>
      <c r="J163" s="3">
        <v>43</v>
      </c>
      <c r="K163">
        <v>5000</v>
      </c>
      <c r="L163">
        <v>95775.17</v>
      </c>
      <c r="M163">
        <v>0</v>
      </c>
      <c r="N163">
        <v>0</v>
      </c>
      <c r="O163" s="3">
        <v>19</v>
      </c>
      <c r="P163">
        <f>SUM($L$2:L163)</f>
        <v>89066081.879999951</v>
      </c>
      <c r="Q163" s="4">
        <f t="shared" si="10"/>
        <v>0.95748764154918375</v>
      </c>
      <c r="R163">
        <f t="shared" si="11"/>
        <v>5040.7984210526311</v>
      </c>
      <c r="S163">
        <f t="shared" si="12"/>
        <v>5040.7984210526311</v>
      </c>
      <c r="T163">
        <v>162</v>
      </c>
      <c r="U163" s="3">
        <f t="shared" si="14"/>
        <v>8810.1143911439121</v>
      </c>
      <c r="V163">
        <f t="shared" si="13"/>
        <v>54.383422167555011</v>
      </c>
    </row>
    <row r="164" spans="1:22" x14ac:dyDescent="0.45">
      <c r="A164" t="s">
        <v>22</v>
      </c>
      <c r="B164" t="s">
        <v>23</v>
      </c>
      <c r="C164" t="s">
        <v>24</v>
      </c>
      <c r="D164" t="s">
        <v>31</v>
      </c>
      <c r="E164" t="s">
        <v>35</v>
      </c>
      <c r="F164" t="s">
        <v>32</v>
      </c>
      <c r="G164" t="s">
        <v>33</v>
      </c>
      <c r="H164" t="s">
        <v>36</v>
      </c>
      <c r="I164" t="s">
        <v>30</v>
      </c>
      <c r="J164" s="3">
        <v>28</v>
      </c>
      <c r="K164">
        <v>15000</v>
      </c>
      <c r="L164">
        <v>91291.63</v>
      </c>
      <c r="M164">
        <v>0</v>
      </c>
      <c r="N164">
        <v>0</v>
      </c>
      <c r="O164" s="3">
        <v>7</v>
      </c>
      <c r="P164">
        <f>SUM($L$2:L164)</f>
        <v>89157373.509999946</v>
      </c>
      <c r="Q164" s="4">
        <f t="shared" si="10"/>
        <v>0.95846905451421849</v>
      </c>
      <c r="R164">
        <f t="shared" si="11"/>
        <v>13041.661428571429</v>
      </c>
      <c r="S164">
        <f t="shared" si="12"/>
        <v>13041.661428571429</v>
      </c>
      <c r="T164">
        <v>163</v>
      </c>
      <c r="U164" s="3">
        <f t="shared" si="14"/>
        <v>8817.1143911439121</v>
      </c>
      <c r="V164">
        <f t="shared" si="13"/>
        <v>54.092726326036271</v>
      </c>
    </row>
    <row r="165" spans="1:22" x14ac:dyDescent="0.45">
      <c r="A165" t="s">
        <v>38</v>
      </c>
      <c r="B165" t="s">
        <v>23</v>
      </c>
      <c r="C165" t="s">
        <v>24</v>
      </c>
      <c r="D165" t="s">
        <v>31</v>
      </c>
      <c r="E165" t="s">
        <v>35</v>
      </c>
      <c r="F165" t="s">
        <v>32</v>
      </c>
      <c r="G165" t="s">
        <v>33</v>
      </c>
      <c r="H165" t="s">
        <v>36</v>
      </c>
      <c r="I165" t="s">
        <v>30</v>
      </c>
      <c r="J165" s="3">
        <v>36</v>
      </c>
      <c r="K165">
        <v>0</v>
      </c>
      <c r="L165">
        <v>89697.24</v>
      </c>
      <c r="M165">
        <v>25000</v>
      </c>
      <c r="N165">
        <v>1</v>
      </c>
      <c r="O165" s="3">
        <v>86</v>
      </c>
      <c r="P165">
        <f>SUM($L$2:L165)</f>
        <v>89247070.74999994</v>
      </c>
      <c r="Q165" s="4">
        <f t="shared" si="10"/>
        <v>0.95943332729874242</v>
      </c>
      <c r="R165">
        <f t="shared" si="11"/>
        <v>1042.9911627906977</v>
      </c>
      <c r="S165">
        <f t="shared" si="12"/>
        <v>1333.6888372093024</v>
      </c>
      <c r="T165">
        <v>164</v>
      </c>
      <c r="U165" s="3">
        <f t="shared" si="14"/>
        <v>8903.1143911439121</v>
      </c>
      <c r="V165">
        <f t="shared" si="13"/>
        <v>54.287282872828733</v>
      </c>
    </row>
    <row r="166" spans="1:22" x14ac:dyDescent="0.45">
      <c r="A166" t="s">
        <v>38</v>
      </c>
      <c r="B166" t="s">
        <v>23</v>
      </c>
      <c r="C166" t="s">
        <v>24</v>
      </c>
      <c r="D166" t="s">
        <v>31</v>
      </c>
      <c r="E166" t="s">
        <v>26</v>
      </c>
      <c r="F166" t="s">
        <v>27</v>
      </c>
      <c r="G166" t="s">
        <v>33</v>
      </c>
      <c r="H166" t="s">
        <v>36</v>
      </c>
      <c r="I166" t="s">
        <v>30</v>
      </c>
      <c r="J166" s="3">
        <v>46</v>
      </c>
      <c r="K166">
        <v>3000</v>
      </c>
      <c r="L166">
        <v>88507.7</v>
      </c>
      <c r="M166">
        <v>0</v>
      </c>
      <c r="N166">
        <v>0</v>
      </c>
      <c r="O166" s="3">
        <v>26</v>
      </c>
      <c r="P166">
        <f>SUM($L$2:L166)</f>
        <v>89335578.449999943</v>
      </c>
      <c r="Q166" s="4">
        <f t="shared" si="10"/>
        <v>0.96038481216417215</v>
      </c>
      <c r="R166">
        <f t="shared" si="11"/>
        <v>3404.1423076923074</v>
      </c>
      <c r="S166">
        <f t="shared" si="12"/>
        <v>3404.1423076923074</v>
      </c>
      <c r="T166">
        <v>165</v>
      </c>
      <c r="U166" s="3">
        <f t="shared" si="14"/>
        <v>8929.1143911439121</v>
      </c>
      <c r="V166">
        <f t="shared" si="13"/>
        <v>54.115844794811586</v>
      </c>
    </row>
    <row r="167" spans="1:22" x14ac:dyDescent="0.45">
      <c r="A167" t="s">
        <v>38</v>
      </c>
      <c r="B167" t="s">
        <v>23</v>
      </c>
      <c r="C167" t="s">
        <v>39</v>
      </c>
      <c r="D167" t="s">
        <v>31</v>
      </c>
      <c r="E167" t="s">
        <v>26</v>
      </c>
      <c r="F167" t="s">
        <v>32</v>
      </c>
      <c r="G167" t="s">
        <v>33</v>
      </c>
      <c r="H167" t="s">
        <v>36</v>
      </c>
      <c r="I167" t="s">
        <v>30</v>
      </c>
      <c r="J167" s="3">
        <v>44</v>
      </c>
      <c r="K167">
        <v>4000</v>
      </c>
      <c r="L167">
        <v>86565.09</v>
      </c>
      <c r="M167">
        <v>0</v>
      </c>
      <c r="N167">
        <v>0</v>
      </c>
      <c r="O167" s="3">
        <v>20</v>
      </c>
      <c r="P167">
        <f>SUM($L$2:L167)</f>
        <v>89422143.539999947</v>
      </c>
      <c r="Q167" s="4">
        <f t="shared" si="10"/>
        <v>0.96131541337750803</v>
      </c>
      <c r="R167">
        <f t="shared" si="11"/>
        <v>4328.2545</v>
      </c>
      <c r="S167">
        <f t="shared" si="12"/>
        <v>4328.2545</v>
      </c>
      <c r="T167">
        <v>166</v>
      </c>
      <c r="U167" s="3">
        <f t="shared" si="14"/>
        <v>8949.1143911439121</v>
      </c>
      <c r="V167">
        <f t="shared" si="13"/>
        <v>53.910327657493447</v>
      </c>
    </row>
    <row r="168" spans="1:22" x14ac:dyDescent="0.45">
      <c r="A168" t="s">
        <v>38</v>
      </c>
      <c r="B168" t="s">
        <v>23</v>
      </c>
      <c r="C168" t="s">
        <v>24</v>
      </c>
      <c r="D168" t="s">
        <v>31</v>
      </c>
      <c r="E168" t="s">
        <v>35</v>
      </c>
      <c r="F168" t="s">
        <v>27</v>
      </c>
      <c r="G168" t="s">
        <v>33</v>
      </c>
      <c r="H168" t="s">
        <v>36</v>
      </c>
      <c r="I168" t="s">
        <v>30</v>
      </c>
      <c r="J168" s="3">
        <v>35</v>
      </c>
      <c r="K168">
        <v>1000</v>
      </c>
      <c r="L168">
        <v>86289.16</v>
      </c>
      <c r="M168">
        <v>73000</v>
      </c>
      <c r="N168">
        <v>3</v>
      </c>
      <c r="O168" s="3">
        <v>88</v>
      </c>
      <c r="P168">
        <f>SUM($L$2:L168)</f>
        <v>89508432.699999943</v>
      </c>
      <c r="Q168" s="4">
        <f t="shared" si="10"/>
        <v>0.96224304825888718</v>
      </c>
      <c r="R168">
        <f t="shared" si="11"/>
        <v>980.55863636363642</v>
      </c>
      <c r="S168">
        <f t="shared" si="12"/>
        <v>1810.1040909090909</v>
      </c>
      <c r="T168">
        <v>167</v>
      </c>
      <c r="U168" s="3">
        <f t="shared" si="14"/>
        <v>9037.1143911439121</v>
      </c>
      <c r="V168">
        <f t="shared" si="13"/>
        <v>54.114457431999476</v>
      </c>
    </row>
    <row r="169" spans="1:22" x14ac:dyDescent="0.45">
      <c r="A169" t="s">
        <v>38</v>
      </c>
      <c r="B169" t="s">
        <v>23</v>
      </c>
      <c r="C169" t="s">
        <v>24</v>
      </c>
      <c r="D169" t="s">
        <v>31</v>
      </c>
      <c r="E169" t="s">
        <v>35</v>
      </c>
      <c r="F169" t="s">
        <v>32</v>
      </c>
      <c r="G169" t="s">
        <v>28</v>
      </c>
      <c r="H169" t="s">
        <v>36</v>
      </c>
      <c r="I169" t="s">
        <v>30</v>
      </c>
      <c r="J169" s="3">
        <v>33</v>
      </c>
      <c r="K169">
        <v>5000</v>
      </c>
      <c r="L169">
        <v>86126.59</v>
      </c>
      <c r="M169">
        <v>0</v>
      </c>
      <c r="N169">
        <v>0</v>
      </c>
      <c r="O169" s="3">
        <v>13</v>
      </c>
      <c r="P169">
        <f>SUM($L$2:L169)</f>
        <v>89594559.289999947</v>
      </c>
      <c r="Q169" s="4">
        <f t="shared" si="10"/>
        <v>0.96316893546300697</v>
      </c>
      <c r="R169">
        <f t="shared" si="11"/>
        <v>6625.122307692307</v>
      </c>
      <c r="S169">
        <f t="shared" si="12"/>
        <v>6625.122307692307</v>
      </c>
      <c r="T169">
        <v>168</v>
      </c>
      <c r="U169" s="3">
        <f t="shared" si="14"/>
        <v>9050.1143911439121</v>
      </c>
      <c r="V169">
        <f t="shared" si="13"/>
        <v>53.869728518713764</v>
      </c>
    </row>
    <row r="170" spans="1:22" x14ac:dyDescent="0.45">
      <c r="A170" t="s">
        <v>38</v>
      </c>
      <c r="B170" t="s">
        <v>23</v>
      </c>
      <c r="C170" t="s">
        <v>24</v>
      </c>
      <c r="D170" t="s">
        <v>31</v>
      </c>
      <c r="E170" t="s">
        <v>35</v>
      </c>
      <c r="F170" t="s">
        <v>32</v>
      </c>
      <c r="G170" t="s">
        <v>33</v>
      </c>
      <c r="H170" t="s">
        <v>36</v>
      </c>
      <c r="I170" t="s">
        <v>30</v>
      </c>
      <c r="J170" s="3">
        <v>45</v>
      </c>
      <c r="K170">
        <v>4000</v>
      </c>
      <c r="L170">
        <v>84742.54</v>
      </c>
      <c r="M170">
        <v>57037.05</v>
      </c>
      <c r="N170">
        <v>3</v>
      </c>
      <c r="O170" s="3">
        <v>84</v>
      </c>
      <c r="P170">
        <f>SUM($L$2:L170)</f>
        <v>89679301.829999954</v>
      </c>
      <c r="Q170" s="4">
        <f t="shared" si="10"/>
        <v>0.96407994370599681</v>
      </c>
      <c r="R170">
        <f t="shared" si="11"/>
        <v>1008.8397619047619</v>
      </c>
      <c r="S170">
        <f t="shared" si="12"/>
        <v>1687.8522619047619</v>
      </c>
      <c r="T170">
        <v>169</v>
      </c>
      <c r="U170" s="3">
        <f t="shared" si="14"/>
        <v>9134.1143911439121</v>
      </c>
      <c r="V170">
        <f t="shared" si="13"/>
        <v>54.048014148780545</v>
      </c>
    </row>
    <row r="171" spans="1:22" x14ac:dyDescent="0.45">
      <c r="A171" t="s">
        <v>22</v>
      </c>
      <c r="B171" t="s">
        <v>23</v>
      </c>
      <c r="C171" t="s">
        <v>24</v>
      </c>
      <c r="D171" t="s">
        <v>31</v>
      </c>
      <c r="E171" t="s">
        <v>26</v>
      </c>
      <c r="F171" t="s">
        <v>27</v>
      </c>
      <c r="G171" t="s">
        <v>33</v>
      </c>
      <c r="H171" t="s">
        <v>36</v>
      </c>
      <c r="I171" t="s">
        <v>40</v>
      </c>
      <c r="J171" s="3">
        <v>35</v>
      </c>
      <c r="K171">
        <v>2000</v>
      </c>
      <c r="L171">
        <v>82709.820000000007</v>
      </c>
      <c r="M171">
        <v>65329.09</v>
      </c>
      <c r="N171">
        <v>2</v>
      </c>
      <c r="O171" s="3">
        <v>64</v>
      </c>
      <c r="P171">
        <f>SUM($L$2:L171)</f>
        <v>89762011.649999946</v>
      </c>
      <c r="Q171" s="4">
        <f t="shared" si="10"/>
        <v>0.96496909958681176</v>
      </c>
      <c r="R171">
        <f t="shared" si="11"/>
        <v>1292.3409375000001</v>
      </c>
      <c r="S171">
        <f t="shared" si="12"/>
        <v>2313.1079687500001</v>
      </c>
      <c r="T171">
        <v>170</v>
      </c>
      <c r="U171" s="3">
        <f t="shared" si="14"/>
        <v>9198.1143911439121</v>
      </c>
      <c r="V171">
        <f t="shared" si="13"/>
        <v>54.106555242023013</v>
      </c>
    </row>
    <row r="172" spans="1:22" x14ac:dyDescent="0.45">
      <c r="A172" t="s">
        <v>22</v>
      </c>
      <c r="B172" t="s">
        <v>34</v>
      </c>
      <c r="C172" t="s">
        <v>24</v>
      </c>
      <c r="D172" t="s">
        <v>25</v>
      </c>
      <c r="E172" t="s">
        <v>35</v>
      </c>
      <c r="F172" t="s">
        <v>32</v>
      </c>
      <c r="G172" t="s">
        <v>28</v>
      </c>
      <c r="H172" t="s">
        <v>36</v>
      </c>
      <c r="I172" t="s">
        <v>30</v>
      </c>
      <c r="J172" s="3">
        <v>22</v>
      </c>
      <c r="K172">
        <v>10000</v>
      </c>
      <c r="L172">
        <v>81488.639999999999</v>
      </c>
      <c r="M172">
        <v>0</v>
      </c>
      <c r="N172">
        <v>0</v>
      </c>
      <c r="O172" s="3">
        <v>11</v>
      </c>
      <c r="P172">
        <f>SUM($L$2:L172)</f>
        <v>89843500.289999947</v>
      </c>
      <c r="Q172" s="4">
        <f t="shared" si="10"/>
        <v>0.9658451274088482</v>
      </c>
      <c r="R172">
        <f t="shared" si="11"/>
        <v>7408.0581818181818</v>
      </c>
      <c r="S172">
        <f t="shared" si="12"/>
        <v>7408.0581818181818</v>
      </c>
      <c r="T172">
        <v>171</v>
      </c>
      <c r="U172" s="3">
        <f t="shared" si="14"/>
        <v>9209.1143911439121</v>
      </c>
      <c r="V172">
        <f t="shared" si="13"/>
        <v>53.854470123648611</v>
      </c>
    </row>
    <row r="173" spans="1:22" x14ac:dyDescent="0.45">
      <c r="A173" t="s">
        <v>38</v>
      </c>
      <c r="B173" t="s">
        <v>34</v>
      </c>
      <c r="C173" t="s">
        <v>39</v>
      </c>
      <c r="D173" t="s">
        <v>25</v>
      </c>
      <c r="E173" t="s">
        <v>26</v>
      </c>
      <c r="F173" t="s">
        <v>32</v>
      </c>
      <c r="G173" t="s">
        <v>28</v>
      </c>
      <c r="H173" t="s">
        <v>29</v>
      </c>
      <c r="I173" t="s">
        <v>30</v>
      </c>
      <c r="J173" s="3">
        <v>21</v>
      </c>
      <c r="K173">
        <v>8000</v>
      </c>
      <c r="L173">
        <v>80935.839999999997</v>
      </c>
      <c r="M173">
        <v>0</v>
      </c>
      <c r="N173">
        <v>0</v>
      </c>
      <c r="O173" s="3">
        <v>9</v>
      </c>
      <c r="P173">
        <f>SUM($L$2:L173)</f>
        <v>89924436.129999951</v>
      </c>
      <c r="Q173" s="4">
        <f t="shared" si="10"/>
        <v>0.96671521246168368</v>
      </c>
      <c r="R173">
        <f t="shared" si="11"/>
        <v>8992.8711111111115</v>
      </c>
      <c r="S173">
        <f t="shared" si="12"/>
        <v>8992.8711111111115</v>
      </c>
      <c r="T173">
        <v>172</v>
      </c>
      <c r="U173" s="3">
        <f t="shared" si="14"/>
        <v>9218.1143911439121</v>
      </c>
      <c r="V173">
        <f t="shared" si="13"/>
        <v>53.593688320604137</v>
      </c>
    </row>
    <row r="174" spans="1:22" x14ac:dyDescent="0.45">
      <c r="A174" t="s">
        <v>38</v>
      </c>
      <c r="B174" t="s">
        <v>34</v>
      </c>
      <c r="C174" t="s">
        <v>39</v>
      </c>
      <c r="D174" t="s">
        <v>25</v>
      </c>
      <c r="E174" t="s">
        <v>35</v>
      </c>
      <c r="F174" t="s">
        <v>32</v>
      </c>
      <c r="G174" t="s">
        <v>33</v>
      </c>
      <c r="H174" t="s">
        <v>29</v>
      </c>
      <c r="I174" t="s">
        <v>40</v>
      </c>
      <c r="J174" s="3">
        <v>30</v>
      </c>
      <c r="K174">
        <v>6000</v>
      </c>
      <c r="L174">
        <v>80859.5</v>
      </c>
      <c r="M174">
        <v>0</v>
      </c>
      <c r="N174">
        <v>0</v>
      </c>
      <c r="O174" s="3">
        <v>14</v>
      </c>
      <c r="P174">
        <f>SUM($L$2:L174)</f>
        <v>90005295.629999951</v>
      </c>
      <c r="Q174" s="4">
        <f t="shared" si="10"/>
        <v>0.9675844768361529</v>
      </c>
      <c r="R174">
        <f t="shared" si="11"/>
        <v>5775.6785714285716</v>
      </c>
      <c r="S174">
        <f t="shared" si="12"/>
        <v>5775.6785714285716</v>
      </c>
      <c r="T174">
        <v>173</v>
      </c>
      <c r="U174" s="3">
        <f t="shared" si="14"/>
        <v>9232.1143911439121</v>
      </c>
      <c r="V174">
        <f t="shared" si="13"/>
        <v>53.364823070196024</v>
      </c>
    </row>
    <row r="175" spans="1:22" x14ac:dyDescent="0.45">
      <c r="A175" t="s">
        <v>22</v>
      </c>
      <c r="B175" t="s">
        <v>23</v>
      </c>
      <c r="C175" t="s">
        <v>24</v>
      </c>
      <c r="D175" t="s">
        <v>31</v>
      </c>
      <c r="E175" t="s">
        <v>26</v>
      </c>
      <c r="F175" t="s">
        <v>27</v>
      </c>
      <c r="G175" t="s">
        <v>33</v>
      </c>
      <c r="H175" t="s">
        <v>36</v>
      </c>
      <c r="I175" t="s">
        <v>30</v>
      </c>
      <c r="J175" s="3">
        <v>45</v>
      </c>
      <c r="K175">
        <v>6000</v>
      </c>
      <c r="L175">
        <v>79716.179999999993</v>
      </c>
      <c r="M175">
        <v>0</v>
      </c>
      <c r="N175">
        <v>0</v>
      </c>
      <c r="O175" s="3">
        <v>22</v>
      </c>
      <c r="P175">
        <f>SUM($L$2:L175)</f>
        <v>90085011.809999958</v>
      </c>
      <c r="Q175" s="4">
        <f t="shared" si="10"/>
        <v>0.96844145017067496</v>
      </c>
      <c r="R175">
        <f t="shared" si="11"/>
        <v>3623.4627272727271</v>
      </c>
      <c r="S175">
        <f t="shared" si="12"/>
        <v>3623.4627272727271</v>
      </c>
      <c r="T175">
        <v>174</v>
      </c>
      <c r="U175" s="3">
        <f t="shared" si="14"/>
        <v>9254.1143911439121</v>
      </c>
      <c r="V175">
        <f t="shared" si="13"/>
        <v>53.184565466344324</v>
      </c>
    </row>
    <row r="176" spans="1:22" x14ac:dyDescent="0.45">
      <c r="A176" t="s">
        <v>22</v>
      </c>
      <c r="B176" t="s">
        <v>34</v>
      </c>
      <c r="C176" t="s">
        <v>24</v>
      </c>
      <c r="D176" t="s">
        <v>25</v>
      </c>
      <c r="E176" t="s">
        <v>26</v>
      </c>
      <c r="F176" t="s">
        <v>27</v>
      </c>
      <c r="G176" t="s">
        <v>33</v>
      </c>
      <c r="H176" t="s">
        <v>36</v>
      </c>
      <c r="I176" t="s">
        <v>30</v>
      </c>
      <c r="J176" s="3">
        <v>48</v>
      </c>
      <c r="K176">
        <v>0</v>
      </c>
      <c r="L176">
        <v>78767.28</v>
      </c>
      <c r="M176">
        <v>563579.29</v>
      </c>
      <c r="N176">
        <v>3</v>
      </c>
      <c r="O176" s="3">
        <v>81</v>
      </c>
      <c r="P176">
        <f>SUM($L$2:L176)</f>
        <v>90163779.089999959</v>
      </c>
      <c r="Q176" s="4">
        <f t="shared" si="10"/>
        <v>0.96928822253975766</v>
      </c>
      <c r="R176">
        <f t="shared" si="11"/>
        <v>972.43555555555554</v>
      </c>
      <c r="S176">
        <f t="shared" si="12"/>
        <v>7930.2045679012354</v>
      </c>
      <c r="T176">
        <v>175</v>
      </c>
      <c r="U176" s="3">
        <f t="shared" si="14"/>
        <v>9335.1143911439121</v>
      </c>
      <c r="V176">
        <f t="shared" si="13"/>
        <v>53.343510806536642</v>
      </c>
    </row>
    <row r="177" spans="1:22" x14ac:dyDescent="0.45">
      <c r="A177" t="s">
        <v>38</v>
      </c>
      <c r="B177" t="s">
        <v>23</v>
      </c>
      <c r="C177" t="s">
        <v>24</v>
      </c>
      <c r="D177" t="s">
        <v>25</v>
      </c>
      <c r="E177" t="s">
        <v>26</v>
      </c>
      <c r="F177" t="s">
        <v>37</v>
      </c>
      <c r="G177" t="s">
        <v>28</v>
      </c>
      <c r="H177" t="s">
        <v>29</v>
      </c>
      <c r="I177" t="s">
        <v>40</v>
      </c>
      <c r="J177" s="3">
        <v>40</v>
      </c>
      <c r="K177">
        <v>3000</v>
      </c>
      <c r="L177">
        <v>77441.960000000006</v>
      </c>
      <c r="M177">
        <v>60000</v>
      </c>
      <c r="N177">
        <v>1</v>
      </c>
      <c r="O177" s="3">
        <v>30</v>
      </c>
      <c r="P177">
        <f>SUM($L$2:L177)</f>
        <v>90241221.049999952</v>
      </c>
      <c r="Q177" s="4">
        <f t="shared" si="10"/>
        <v>0.97012074731318654</v>
      </c>
      <c r="R177">
        <f t="shared" si="11"/>
        <v>2581.3986666666669</v>
      </c>
      <c r="S177">
        <f t="shared" si="12"/>
        <v>4581.3986666666669</v>
      </c>
      <c r="T177">
        <v>176</v>
      </c>
      <c r="U177" s="3">
        <f t="shared" si="14"/>
        <v>9365.1143911439121</v>
      </c>
      <c r="V177">
        <f t="shared" si="13"/>
        <v>53.210877222408591</v>
      </c>
    </row>
    <row r="178" spans="1:22" x14ac:dyDescent="0.45">
      <c r="A178" t="s">
        <v>38</v>
      </c>
      <c r="B178" t="s">
        <v>34</v>
      </c>
      <c r="C178" t="s">
        <v>24</v>
      </c>
      <c r="D178" t="s">
        <v>31</v>
      </c>
      <c r="E178" t="s">
        <v>26</v>
      </c>
      <c r="F178" t="s">
        <v>37</v>
      </c>
      <c r="G178" t="s">
        <v>33</v>
      </c>
      <c r="H178" t="s">
        <v>36</v>
      </c>
      <c r="I178" t="s">
        <v>30</v>
      </c>
      <c r="J178" s="3">
        <v>40</v>
      </c>
      <c r="K178">
        <v>2000</v>
      </c>
      <c r="L178">
        <v>73658.539999999994</v>
      </c>
      <c r="M178">
        <v>0</v>
      </c>
      <c r="N178">
        <v>0</v>
      </c>
      <c r="O178" s="3">
        <v>32</v>
      </c>
      <c r="P178">
        <f>SUM($L$2:L178)</f>
        <v>90314879.589999959</v>
      </c>
      <c r="Q178" s="4">
        <f t="shared" si="10"/>
        <v>0.97091259916358663</v>
      </c>
      <c r="R178">
        <f t="shared" si="11"/>
        <v>2301.8293749999998</v>
      </c>
      <c r="S178">
        <f t="shared" si="12"/>
        <v>2301.8293749999998</v>
      </c>
      <c r="T178">
        <v>177</v>
      </c>
      <c r="U178" s="3">
        <f t="shared" si="14"/>
        <v>9397.1143911439121</v>
      </c>
      <c r="V178">
        <f t="shared" si="13"/>
        <v>53.09104175787521</v>
      </c>
    </row>
    <row r="179" spans="1:22" x14ac:dyDescent="0.45">
      <c r="A179" t="s">
        <v>22</v>
      </c>
      <c r="B179" t="s">
        <v>23</v>
      </c>
      <c r="C179" t="s">
        <v>24</v>
      </c>
      <c r="D179" t="s">
        <v>31</v>
      </c>
      <c r="E179" t="s">
        <v>35</v>
      </c>
      <c r="F179" t="s">
        <v>27</v>
      </c>
      <c r="G179" t="s">
        <v>33</v>
      </c>
      <c r="H179" t="s">
        <v>36</v>
      </c>
      <c r="I179" t="s">
        <v>30</v>
      </c>
      <c r="J179" s="3">
        <v>33</v>
      </c>
      <c r="K179">
        <v>0</v>
      </c>
      <c r="L179">
        <v>73159.77</v>
      </c>
      <c r="M179">
        <v>0</v>
      </c>
      <c r="N179">
        <v>0</v>
      </c>
      <c r="O179" s="3">
        <v>63</v>
      </c>
      <c r="P179">
        <f>SUM($L$2:L179)</f>
        <v>90388039.359999955</v>
      </c>
      <c r="Q179" s="4">
        <f t="shared" si="10"/>
        <v>0.97169908908382308</v>
      </c>
      <c r="R179">
        <f t="shared" si="11"/>
        <v>1161.2661904761906</v>
      </c>
      <c r="S179">
        <f t="shared" si="12"/>
        <v>1161.2661904761906</v>
      </c>
      <c r="T179">
        <v>178</v>
      </c>
      <c r="U179" s="3">
        <f t="shared" si="14"/>
        <v>9460.1143911439121</v>
      </c>
      <c r="V179">
        <f t="shared" si="13"/>
        <v>53.146710062606246</v>
      </c>
    </row>
    <row r="180" spans="1:22" x14ac:dyDescent="0.45">
      <c r="A180" t="s">
        <v>38</v>
      </c>
      <c r="B180" t="s">
        <v>34</v>
      </c>
      <c r="C180" t="s">
        <v>39</v>
      </c>
      <c r="D180" t="s">
        <v>31</v>
      </c>
      <c r="E180" t="s">
        <v>26</v>
      </c>
      <c r="F180" t="s">
        <v>37</v>
      </c>
      <c r="G180" t="s">
        <v>33</v>
      </c>
      <c r="H180" t="s">
        <v>36</v>
      </c>
      <c r="I180" t="s">
        <v>30</v>
      </c>
      <c r="J180" s="3">
        <v>40</v>
      </c>
      <c r="K180">
        <v>5000</v>
      </c>
      <c r="L180">
        <v>71614.06</v>
      </c>
      <c r="M180">
        <v>0</v>
      </c>
      <c r="N180">
        <v>0</v>
      </c>
      <c r="O180" s="3">
        <v>14</v>
      </c>
      <c r="P180">
        <f>SUM($L$2:L180)</f>
        <v>90459653.419999957</v>
      </c>
      <c r="Q180" s="4">
        <f t="shared" si="10"/>
        <v>0.9724689621484488</v>
      </c>
      <c r="R180">
        <f t="shared" si="11"/>
        <v>5115.29</v>
      </c>
      <c r="S180">
        <f t="shared" si="12"/>
        <v>5115.29</v>
      </c>
      <c r="T180">
        <v>179</v>
      </c>
      <c r="U180" s="3">
        <f t="shared" si="14"/>
        <v>9474.1143911439121</v>
      </c>
      <c r="V180">
        <f t="shared" si="13"/>
        <v>52.928013358345879</v>
      </c>
    </row>
    <row r="181" spans="1:22" x14ac:dyDescent="0.45">
      <c r="A181" t="s">
        <v>38</v>
      </c>
      <c r="B181" t="s">
        <v>34</v>
      </c>
      <c r="C181" t="s">
        <v>39</v>
      </c>
      <c r="D181" t="s">
        <v>25</v>
      </c>
      <c r="E181" t="s">
        <v>26</v>
      </c>
      <c r="F181" t="s">
        <v>27</v>
      </c>
      <c r="G181" t="s">
        <v>33</v>
      </c>
      <c r="H181" t="s">
        <v>36</v>
      </c>
      <c r="I181" t="s">
        <v>30</v>
      </c>
      <c r="J181" s="3">
        <v>63</v>
      </c>
      <c r="K181">
        <v>2000</v>
      </c>
      <c r="L181">
        <v>70701.8</v>
      </c>
      <c r="M181">
        <v>107185.47</v>
      </c>
      <c r="N181">
        <v>3</v>
      </c>
      <c r="O181" s="3">
        <v>77</v>
      </c>
      <c r="P181">
        <f>SUM($L$2:L181)</f>
        <v>90530355.219999954</v>
      </c>
      <c r="Q181" s="4">
        <f t="shared" si="10"/>
        <v>0.97322902813885004</v>
      </c>
      <c r="R181">
        <f t="shared" si="11"/>
        <v>918.20519480519488</v>
      </c>
      <c r="S181">
        <f t="shared" si="12"/>
        <v>2310.224285714286</v>
      </c>
      <c r="T181">
        <v>180</v>
      </c>
      <c r="U181" s="3">
        <f t="shared" si="14"/>
        <v>9551.1143911439121</v>
      </c>
      <c r="V181">
        <f t="shared" si="13"/>
        <v>53.061746617466177</v>
      </c>
    </row>
    <row r="182" spans="1:22" x14ac:dyDescent="0.45">
      <c r="A182" t="s">
        <v>38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28</v>
      </c>
      <c r="H182" t="s">
        <v>36</v>
      </c>
      <c r="I182" t="s">
        <v>40</v>
      </c>
      <c r="J182" s="3">
        <v>26</v>
      </c>
      <c r="K182">
        <v>2000</v>
      </c>
      <c r="L182">
        <v>69202.62</v>
      </c>
      <c r="M182">
        <v>14000</v>
      </c>
      <c r="N182">
        <v>3</v>
      </c>
      <c r="O182" s="3">
        <v>38</v>
      </c>
      <c r="P182">
        <f>SUM($L$2:L182)</f>
        <v>90599557.839999959</v>
      </c>
      <c r="Q182" s="4">
        <f t="shared" si="10"/>
        <v>0.97397297748538247</v>
      </c>
      <c r="R182">
        <f t="shared" si="11"/>
        <v>1821.1215789473683</v>
      </c>
      <c r="S182">
        <f t="shared" si="12"/>
        <v>2189.5426315789473</v>
      </c>
      <c r="T182">
        <v>181</v>
      </c>
      <c r="U182" s="3">
        <f t="shared" si="14"/>
        <v>9589.1143911439121</v>
      </c>
      <c r="V182">
        <f t="shared" si="13"/>
        <v>52.978532547756423</v>
      </c>
    </row>
    <row r="183" spans="1:22" x14ac:dyDescent="0.45">
      <c r="A183" t="s">
        <v>22</v>
      </c>
      <c r="B183" t="s">
        <v>23</v>
      </c>
      <c r="C183" t="s">
        <v>24</v>
      </c>
      <c r="D183" t="s">
        <v>31</v>
      </c>
      <c r="E183" t="s">
        <v>35</v>
      </c>
      <c r="F183" t="s">
        <v>32</v>
      </c>
      <c r="G183" t="s">
        <v>33</v>
      </c>
      <c r="H183" t="s">
        <v>36</v>
      </c>
      <c r="I183" t="s">
        <v>30</v>
      </c>
      <c r="J183" s="3">
        <v>43</v>
      </c>
      <c r="K183">
        <v>2000</v>
      </c>
      <c r="L183">
        <v>68500.850000000006</v>
      </c>
      <c r="M183">
        <v>0</v>
      </c>
      <c r="N183">
        <v>0</v>
      </c>
      <c r="O183" s="3">
        <v>7</v>
      </c>
      <c r="P183">
        <f>SUM($L$2:L183)</f>
        <v>90668058.689999953</v>
      </c>
      <c r="Q183" s="4">
        <f t="shared" si="10"/>
        <v>0.97470938258961703</v>
      </c>
      <c r="R183">
        <f t="shared" si="11"/>
        <v>9785.8357142857149</v>
      </c>
      <c r="S183">
        <f t="shared" si="12"/>
        <v>9785.8357142857149</v>
      </c>
      <c r="T183">
        <v>182</v>
      </c>
      <c r="U183" s="3">
        <f t="shared" si="14"/>
        <v>9596.1143911439121</v>
      </c>
      <c r="V183">
        <f t="shared" si="13"/>
        <v>52.725903248043473</v>
      </c>
    </row>
    <row r="184" spans="1:22" x14ac:dyDescent="0.45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28</v>
      </c>
      <c r="H184" t="s">
        <v>36</v>
      </c>
      <c r="I184" t="s">
        <v>40</v>
      </c>
      <c r="J184" s="3">
        <v>25</v>
      </c>
      <c r="K184">
        <v>4000</v>
      </c>
      <c r="L184">
        <v>68168.2</v>
      </c>
      <c r="M184">
        <v>0</v>
      </c>
      <c r="N184">
        <v>0</v>
      </c>
      <c r="O184" s="3">
        <v>8</v>
      </c>
      <c r="P184">
        <f>SUM($L$2:L184)</f>
        <v>90736226.889999956</v>
      </c>
      <c r="Q184" s="4">
        <f t="shared" si="10"/>
        <v>0.97544221160453426</v>
      </c>
      <c r="R184">
        <f t="shared" si="11"/>
        <v>8521.0249999999996</v>
      </c>
      <c r="S184">
        <f t="shared" si="12"/>
        <v>8521.0249999999996</v>
      </c>
      <c r="T184">
        <v>183</v>
      </c>
      <c r="U184" s="3">
        <f t="shared" si="14"/>
        <v>9604.1143911439121</v>
      </c>
      <c r="V184">
        <f t="shared" si="13"/>
        <v>52.48149940515799</v>
      </c>
    </row>
    <row r="185" spans="1:22" x14ac:dyDescent="0.45">
      <c r="A185" t="s">
        <v>38</v>
      </c>
      <c r="B185" t="s">
        <v>23</v>
      </c>
      <c r="C185" t="s">
        <v>24</v>
      </c>
      <c r="D185" t="s">
        <v>31</v>
      </c>
      <c r="E185" t="s">
        <v>26</v>
      </c>
      <c r="F185" t="s">
        <v>37</v>
      </c>
      <c r="G185" t="s">
        <v>33</v>
      </c>
      <c r="H185" t="s">
        <v>36</v>
      </c>
      <c r="I185" t="s">
        <v>30</v>
      </c>
      <c r="J185" s="3">
        <v>47</v>
      </c>
      <c r="K185">
        <v>5000</v>
      </c>
      <c r="L185">
        <v>66532.78</v>
      </c>
      <c r="M185">
        <v>200000</v>
      </c>
      <c r="N185">
        <v>2</v>
      </c>
      <c r="O185" s="3">
        <v>42</v>
      </c>
      <c r="P185">
        <f>SUM($L$2:L185)</f>
        <v>90802759.669999957</v>
      </c>
      <c r="Q185" s="4">
        <f t="shared" si="10"/>
        <v>0.97615745935388221</v>
      </c>
      <c r="R185">
        <f t="shared" si="11"/>
        <v>1584.1138095238096</v>
      </c>
      <c r="S185">
        <f t="shared" si="12"/>
        <v>6346.0185714285717</v>
      </c>
      <c r="T185">
        <v>184</v>
      </c>
      <c r="U185" s="3">
        <f t="shared" si="14"/>
        <v>9646.1143911439121</v>
      </c>
      <c r="V185">
        <f t="shared" si="13"/>
        <v>52.424534734477781</v>
      </c>
    </row>
    <row r="186" spans="1:22" x14ac:dyDescent="0.45">
      <c r="A186" t="s">
        <v>38</v>
      </c>
      <c r="B186" t="s">
        <v>23</v>
      </c>
      <c r="C186" t="s">
        <v>24</v>
      </c>
      <c r="D186" t="s">
        <v>31</v>
      </c>
      <c r="E186" t="s">
        <v>26</v>
      </c>
      <c r="F186" t="s">
        <v>27</v>
      </c>
      <c r="G186" t="s">
        <v>33</v>
      </c>
      <c r="H186" t="s">
        <v>36</v>
      </c>
      <c r="I186" t="s">
        <v>30</v>
      </c>
      <c r="J186" s="3">
        <v>42</v>
      </c>
      <c r="K186">
        <v>6000</v>
      </c>
      <c r="L186">
        <v>65866.64</v>
      </c>
      <c r="M186">
        <v>317231.09000000003</v>
      </c>
      <c r="N186">
        <v>18</v>
      </c>
      <c r="O186" s="3">
        <v>91</v>
      </c>
      <c r="P186">
        <f>SUM($L$2:L186)</f>
        <v>90868626.309999958</v>
      </c>
      <c r="Q186" s="4">
        <f t="shared" si="10"/>
        <v>0.97686554589433816</v>
      </c>
      <c r="R186">
        <f t="shared" si="11"/>
        <v>723.80923076923079</v>
      </c>
      <c r="S186">
        <f t="shared" si="12"/>
        <v>4209.8651648351652</v>
      </c>
      <c r="T186">
        <v>185</v>
      </c>
      <c r="U186" s="3">
        <f t="shared" si="14"/>
        <v>9737.1143911439121</v>
      </c>
      <c r="V186">
        <f t="shared" si="13"/>
        <v>52.633050762940066</v>
      </c>
    </row>
    <row r="187" spans="1:22" x14ac:dyDescent="0.45">
      <c r="A187" t="s">
        <v>38</v>
      </c>
      <c r="B187" t="s">
        <v>34</v>
      </c>
      <c r="C187" t="s">
        <v>39</v>
      </c>
      <c r="D187" t="s">
        <v>31</v>
      </c>
      <c r="E187" t="s">
        <v>35</v>
      </c>
      <c r="F187" t="s">
        <v>27</v>
      </c>
      <c r="G187" t="s">
        <v>33</v>
      </c>
      <c r="H187" t="s">
        <v>36</v>
      </c>
      <c r="I187" t="s">
        <v>30</v>
      </c>
      <c r="J187" s="3">
        <v>47</v>
      </c>
      <c r="K187">
        <v>2000</v>
      </c>
      <c r="L187">
        <v>60420.22</v>
      </c>
      <c r="M187">
        <v>100000</v>
      </c>
      <c r="N187">
        <v>1</v>
      </c>
      <c r="O187" s="3">
        <v>59</v>
      </c>
      <c r="P187">
        <f>SUM($L$2:L187)</f>
        <v>90929046.529999956</v>
      </c>
      <c r="Q187" s="4">
        <f t="shared" si="10"/>
        <v>0.97751508175275426</v>
      </c>
      <c r="R187">
        <f t="shared" si="11"/>
        <v>1024.0715254237289</v>
      </c>
      <c r="S187">
        <f t="shared" si="12"/>
        <v>2718.986779661017</v>
      </c>
      <c r="T187">
        <v>186</v>
      </c>
      <c r="U187" s="3">
        <f t="shared" si="14"/>
        <v>9796.1143911439121</v>
      </c>
      <c r="V187">
        <f t="shared" si="13"/>
        <v>52.667281672816735</v>
      </c>
    </row>
    <row r="188" spans="1:22" x14ac:dyDescent="0.45">
      <c r="A188" t="s">
        <v>22</v>
      </c>
      <c r="B188" t="s">
        <v>23</v>
      </c>
      <c r="C188" t="s">
        <v>24</v>
      </c>
      <c r="D188" t="s">
        <v>31</v>
      </c>
      <c r="E188" t="s">
        <v>35</v>
      </c>
      <c r="F188" t="s">
        <v>32</v>
      </c>
      <c r="G188" t="s">
        <v>33</v>
      </c>
      <c r="H188" t="s">
        <v>36</v>
      </c>
      <c r="I188" t="s">
        <v>40</v>
      </c>
      <c r="J188" s="3">
        <v>31</v>
      </c>
      <c r="K188">
        <v>20000</v>
      </c>
      <c r="L188">
        <v>60237.35</v>
      </c>
      <c r="M188">
        <v>0</v>
      </c>
      <c r="N188">
        <v>0</v>
      </c>
      <c r="O188" s="3">
        <v>4</v>
      </c>
      <c r="P188">
        <f>SUM($L$2:L188)</f>
        <v>90989283.879999951</v>
      </c>
      <c r="Q188" s="4">
        <f t="shared" si="10"/>
        <v>0.97816265170269734</v>
      </c>
      <c r="R188">
        <f t="shared" si="11"/>
        <v>15059.3375</v>
      </c>
      <c r="S188">
        <f t="shared" si="12"/>
        <v>15059.3375</v>
      </c>
      <c r="T188">
        <v>187</v>
      </c>
      <c r="U188" s="3">
        <f t="shared" si="14"/>
        <v>9800.1143911439121</v>
      </c>
      <c r="V188">
        <f t="shared" si="13"/>
        <v>52.407028829646592</v>
      </c>
    </row>
    <row r="189" spans="1:22" x14ac:dyDescent="0.45">
      <c r="A189" t="s">
        <v>38</v>
      </c>
      <c r="B189" t="s">
        <v>23</v>
      </c>
      <c r="C189" t="s">
        <v>24</v>
      </c>
      <c r="D189" t="s">
        <v>31</v>
      </c>
      <c r="E189" t="s">
        <v>26</v>
      </c>
      <c r="F189" t="s">
        <v>37</v>
      </c>
      <c r="G189" t="s">
        <v>33</v>
      </c>
      <c r="H189" t="s">
        <v>29</v>
      </c>
      <c r="I189" t="s">
        <v>40</v>
      </c>
      <c r="J189" s="3">
        <v>30</v>
      </c>
      <c r="K189">
        <v>0</v>
      </c>
      <c r="L189">
        <v>59901.67</v>
      </c>
      <c r="M189">
        <v>0</v>
      </c>
      <c r="N189">
        <v>0</v>
      </c>
      <c r="O189" s="3">
        <v>48.940959409594093</v>
      </c>
      <c r="P189">
        <f>SUM($L$2:L189)</f>
        <v>91049185.549999952</v>
      </c>
      <c r="Q189" s="4">
        <f t="shared" si="10"/>
        <v>0.9788066129898958</v>
      </c>
      <c r="R189">
        <f t="shared" si="11"/>
        <v>1223.9578202518285</v>
      </c>
      <c r="S189">
        <f t="shared" si="12"/>
        <v>1223.9578202518285</v>
      </c>
      <c r="T189">
        <v>188</v>
      </c>
      <c r="U189" s="3">
        <f t="shared" si="14"/>
        <v>9849.0553505535063</v>
      </c>
      <c r="V189">
        <f t="shared" si="13"/>
        <v>52.388592290178224</v>
      </c>
    </row>
    <row r="190" spans="1:22" x14ac:dyDescent="0.45">
      <c r="A190" t="s">
        <v>22</v>
      </c>
      <c r="B190" t="s">
        <v>23</v>
      </c>
      <c r="C190" t="s">
        <v>24</v>
      </c>
      <c r="D190" t="s">
        <v>25</v>
      </c>
      <c r="E190" t="s">
        <v>35</v>
      </c>
      <c r="F190" t="s">
        <v>32</v>
      </c>
      <c r="G190" t="s">
        <v>28</v>
      </c>
      <c r="H190" t="s">
        <v>36</v>
      </c>
      <c r="I190" t="s">
        <v>30</v>
      </c>
      <c r="J190" s="3">
        <v>30</v>
      </c>
      <c r="K190">
        <v>5000</v>
      </c>
      <c r="L190">
        <v>59227.69</v>
      </c>
      <c r="M190">
        <v>0</v>
      </c>
      <c r="N190">
        <v>0</v>
      </c>
      <c r="O190" s="3">
        <v>12</v>
      </c>
      <c r="P190">
        <f>SUM($L$2:L190)</f>
        <v>91108413.23999995</v>
      </c>
      <c r="Q190" s="4">
        <f t="shared" si="10"/>
        <v>0.97944332878580231</v>
      </c>
      <c r="R190">
        <f t="shared" si="11"/>
        <v>4935.6408333333338</v>
      </c>
      <c r="S190">
        <f t="shared" si="12"/>
        <v>4935.6408333333338</v>
      </c>
      <c r="T190">
        <v>189</v>
      </c>
      <c r="U190" s="3">
        <f t="shared" si="14"/>
        <v>9861.0553505535063</v>
      </c>
      <c r="V190">
        <f t="shared" si="13"/>
        <v>52.174896034674639</v>
      </c>
    </row>
    <row r="191" spans="1:22" x14ac:dyDescent="0.45">
      <c r="A191" t="s">
        <v>38</v>
      </c>
      <c r="B191" t="s">
        <v>23</v>
      </c>
      <c r="C191" t="s">
        <v>24</v>
      </c>
      <c r="D191" t="s">
        <v>31</v>
      </c>
      <c r="E191" t="s">
        <v>26</v>
      </c>
      <c r="F191" t="s">
        <v>32</v>
      </c>
      <c r="G191" t="s">
        <v>33</v>
      </c>
      <c r="H191" t="s">
        <v>36</v>
      </c>
      <c r="I191" t="s">
        <v>30</v>
      </c>
      <c r="J191" s="3">
        <v>43</v>
      </c>
      <c r="K191">
        <v>2000</v>
      </c>
      <c r="L191">
        <v>58692.21</v>
      </c>
      <c r="M191">
        <v>35534.79</v>
      </c>
      <c r="N191">
        <v>2</v>
      </c>
      <c r="O191" s="3">
        <v>70</v>
      </c>
      <c r="P191">
        <f>SUM($L$2:L191)</f>
        <v>91167105.449999943</v>
      </c>
      <c r="Q191" s="4">
        <f t="shared" si="10"/>
        <v>0.98007428800780916</v>
      </c>
      <c r="R191">
        <f t="shared" si="11"/>
        <v>838.46014285714284</v>
      </c>
      <c r="S191">
        <f t="shared" si="12"/>
        <v>1346.1</v>
      </c>
      <c r="T191">
        <v>190</v>
      </c>
      <c r="U191" s="3">
        <f t="shared" si="14"/>
        <v>9931.0553505535063</v>
      </c>
      <c r="V191">
        <f t="shared" si="13"/>
        <v>52.268712371334246</v>
      </c>
    </row>
    <row r="192" spans="1:22" x14ac:dyDescent="0.45">
      <c r="A192" t="s">
        <v>38</v>
      </c>
      <c r="B192" t="s">
        <v>34</v>
      </c>
      <c r="C192" t="s">
        <v>39</v>
      </c>
      <c r="D192" t="s">
        <v>25</v>
      </c>
      <c r="E192" t="s">
        <v>26</v>
      </c>
      <c r="F192" t="s">
        <v>27</v>
      </c>
      <c r="G192" t="s">
        <v>33</v>
      </c>
      <c r="H192" t="s">
        <v>29</v>
      </c>
      <c r="I192" t="s">
        <v>30</v>
      </c>
      <c r="J192" s="3">
        <v>58</v>
      </c>
      <c r="K192">
        <v>0</v>
      </c>
      <c r="L192">
        <v>58334.39</v>
      </c>
      <c r="M192">
        <v>0</v>
      </c>
      <c r="N192">
        <v>0</v>
      </c>
      <c r="O192" s="3">
        <v>48.940959409594093</v>
      </c>
      <c r="P192">
        <f>SUM($L$2:L192)</f>
        <v>91225439.839999944</v>
      </c>
      <c r="Q192" s="4">
        <f t="shared" si="10"/>
        <v>0.98070140055529453</v>
      </c>
      <c r="R192">
        <f t="shared" si="11"/>
        <v>1191.9339282213678</v>
      </c>
      <c r="S192">
        <f t="shared" si="12"/>
        <v>1191.9339282213678</v>
      </c>
      <c r="T192">
        <v>191</v>
      </c>
      <c r="U192" s="3">
        <f t="shared" si="14"/>
        <v>9979.9963099631004</v>
      </c>
      <c r="V192">
        <f t="shared" si="13"/>
        <v>52.251289580958641</v>
      </c>
    </row>
    <row r="193" spans="1:22" x14ac:dyDescent="0.45">
      <c r="A193" t="s">
        <v>38</v>
      </c>
      <c r="B193" t="s">
        <v>34</v>
      </c>
      <c r="C193" t="s">
        <v>24</v>
      </c>
      <c r="D193" t="s">
        <v>31</v>
      </c>
      <c r="E193" t="s">
        <v>26</v>
      </c>
      <c r="F193" t="s">
        <v>27</v>
      </c>
      <c r="G193" t="s">
        <v>33</v>
      </c>
      <c r="H193" t="s">
        <v>36</v>
      </c>
      <c r="I193" t="s">
        <v>30</v>
      </c>
      <c r="J193" s="3">
        <v>74</v>
      </c>
      <c r="K193">
        <v>2000</v>
      </c>
      <c r="L193">
        <v>56936.95</v>
      </c>
      <c r="M193">
        <v>64622.86</v>
      </c>
      <c r="N193">
        <v>2</v>
      </c>
      <c r="O193" s="3">
        <v>76</v>
      </c>
      <c r="P193">
        <f>SUM($L$2:L193)</f>
        <v>91282376.789999947</v>
      </c>
      <c r="Q193" s="4">
        <f t="shared" si="10"/>
        <v>0.98131349019505165</v>
      </c>
      <c r="R193">
        <f t="shared" si="11"/>
        <v>749.17039473684201</v>
      </c>
      <c r="S193">
        <f t="shared" si="12"/>
        <v>1599.4711842105262</v>
      </c>
      <c r="T193">
        <v>192</v>
      </c>
      <c r="U193" s="3">
        <f t="shared" si="14"/>
        <v>10055.9963099631</v>
      </c>
      <c r="V193">
        <f t="shared" si="13"/>
        <v>52.374980781057815</v>
      </c>
    </row>
    <row r="194" spans="1:22" x14ac:dyDescent="0.45">
      <c r="A194" t="s">
        <v>38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28</v>
      </c>
      <c r="H194" t="s">
        <v>36</v>
      </c>
      <c r="I194" t="s">
        <v>30</v>
      </c>
      <c r="J194" s="3">
        <v>22</v>
      </c>
      <c r="K194">
        <v>20000</v>
      </c>
      <c r="L194">
        <v>56127.95</v>
      </c>
      <c r="M194">
        <v>0</v>
      </c>
      <c r="N194">
        <v>0</v>
      </c>
      <c r="O194" s="3">
        <v>2</v>
      </c>
      <c r="P194">
        <f>SUM($L$2:L194)</f>
        <v>91338504.73999995</v>
      </c>
      <c r="Q194" s="4">
        <f t="shared" ref="Q194:Q257" si="15">P194/$P$267</f>
        <v>0.98191688283719014</v>
      </c>
      <c r="R194">
        <f t="shared" si="11"/>
        <v>28063.974999999999</v>
      </c>
      <c r="S194">
        <f t="shared" si="12"/>
        <v>28063.974999999999</v>
      </c>
      <c r="T194">
        <v>193</v>
      </c>
      <c r="U194" s="3">
        <f t="shared" si="14"/>
        <v>10057.9963099631</v>
      </c>
      <c r="V194">
        <f t="shared" si="13"/>
        <v>52.113970517943528</v>
      </c>
    </row>
    <row r="195" spans="1:22" x14ac:dyDescent="0.45">
      <c r="A195" t="s">
        <v>38</v>
      </c>
      <c r="B195" t="s">
        <v>34</v>
      </c>
      <c r="C195" t="s">
        <v>39</v>
      </c>
      <c r="D195" t="s">
        <v>25</v>
      </c>
      <c r="E195" t="s">
        <v>26</v>
      </c>
      <c r="F195" t="s">
        <v>32</v>
      </c>
      <c r="G195" t="s">
        <v>33</v>
      </c>
      <c r="H195" t="s">
        <v>36</v>
      </c>
      <c r="I195" t="s">
        <v>30</v>
      </c>
      <c r="J195" s="3">
        <v>32</v>
      </c>
      <c r="K195">
        <v>0</v>
      </c>
      <c r="L195">
        <v>55110.8</v>
      </c>
      <c r="M195">
        <v>141139.60999999999</v>
      </c>
      <c r="N195">
        <v>3</v>
      </c>
      <c r="O195" s="3">
        <v>48.940959409594093</v>
      </c>
      <c r="P195">
        <f>SUM($L$2:L195)</f>
        <v>91393615.539999947</v>
      </c>
      <c r="Q195" s="4">
        <f t="shared" si="15"/>
        <v>0.98250934080549934</v>
      </c>
      <c r="R195">
        <f t="shared" ref="R195:R258" si="16">L195/O195</f>
        <v>1126.0670134961924</v>
      </c>
      <c r="S195">
        <f t="shared" ref="S195:S258" si="17">(L195+M195)/O195</f>
        <v>4009.9420274447707</v>
      </c>
      <c r="T195">
        <v>194</v>
      </c>
      <c r="U195" s="3">
        <f t="shared" si="14"/>
        <v>10106.937269372695</v>
      </c>
      <c r="V195">
        <f t="shared" si="13"/>
        <v>52.097614790580899</v>
      </c>
    </row>
    <row r="196" spans="1:22" x14ac:dyDescent="0.45">
      <c r="A196" t="s">
        <v>38</v>
      </c>
      <c r="B196" t="s">
        <v>34</v>
      </c>
      <c r="C196" t="s">
        <v>24</v>
      </c>
      <c r="D196" t="s">
        <v>31</v>
      </c>
      <c r="E196" t="s">
        <v>35</v>
      </c>
      <c r="F196" t="s">
        <v>32</v>
      </c>
      <c r="G196" t="s">
        <v>33</v>
      </c>
      <c r="H196" t="s">
        <v>36</v>
      </c>
      <c r="I196" t="s">
        <v>30</v>
      </c>
      <c r="J196" s="3">
        <v>45</v>
      </c>
      <c r="K196">
        <v>1000</v>
      </c>
      <c r="L196">
        <v>54901.5</v>
      </c>
      <c r="M196">
        <v>0</v>
      </c>
      <c r="N196">
        <v>0</v>
      </c>
      <c r="O196" s="3">
        <v>43</v>
      </c>
      <c r="P196">
        <f>SUM($L$2:L196)</f>
        <v>91448517.039999947</v>
      </c>
      <c r="Q196" s="4">
        <f t="shared" si="15"/>
        <v>0.98309954873474603</v>
      </c>
      <c r="R196">
        <f t="shared" si="16"/>
        <v>1276.7790697674418</v>
      </c>
      <c r="S196">
        <f t="shared" si="17"/>
        <v>1276.7790697674418</v>
      </c>
      <c r="T196">
        <v>195</v>
      </c>
      <c r="U196" s="3">
        <f t="shared" si="14"/>
        <v>10149.937269372695</v>
      </c>
      <c r="V196">
        <f t="shared" ref="V196:V259" si="18">U196/T196</f>
        <v>52.050960355757411</v>
      </c>
    </row>
    <row r="197" spans="1:22" x14ac:dyDescent="0.45">
      <c r="A197" t="s">
        <v>41</v>
      </c>
      <c r="B197" t="s">
        <v>34</v>
      </c>
      <c r="C197" t="s">
        <v>24</v>
      </c>
      <c r="D197" t="s">
        <v>25</v>
      </c>
      <c r="E197" t="s">
        <v>35</v>
      </c>
      <c r="F197" t="s">
        <v>32</v>
      </c>
      <c r="G197" t="s">
        <v>28</v>
      </c>
      <c r="H197" t="s">
        <v>36</v>
      </c>
      <c r="I197" t="s">
        <v>30</v>
      </c>
      <c r="J197" s="3">
        <v>26</v>
      </c>
      <c r="K197">
        <v>10000</v>
      </c>
      <c r="L197">
        <v>51882.34</v>
      </c>
      <c r="M197">
        <v>0</v>
      </c>
      <c r="N197">
        <v>0</v>
      </c>
      <c r="O197" s="3">
        <v>4</v>
      </c>
      <c r="P197">
        <f>SUM($L$2:L197)</f>
        <v>91500399.379999951</v>
      </c>
      <c r="Q197" s="4">
        <f t="shared" si="15"/>
        <v>0.98365729976988858</v>
      </c>
      <c r="R197">
        <f t="shared" si="16"/>
        <v>12970.584999999999</v>
      </c>
      <c r="S197">
        <f t="shared" si="17"/>
        <v>12970.584999999999</v>
      </c>
      <c r="T197">
        <v>196</v>
      </c>
      <c r="U197" s="3">
        <f t="shared" ref="U197:U260" si="19">O197+U196</f>
        <v>10153.937269372695</v>
      </c>
      <c r="V197">
        <f t="shared" si="18"/>
        <v>51.805802394758643</v>
      </c>
    </row>
    <row r="198" spans="1:22" x14ac:dyDescent="0.45">
      <c r="A198" t="s">
        <v>38</v>
      </c>
      <c r="B198" t="s">
        <v>34</v>
      </c>
      <c r="C198" t="s">
        <v>39</v>
      </c>
      <c r="D198" t="s">
        <v>31</v>
      </c>
      <c r="E198" t="s">
        <v>26</v>
      </c>
      <c r="F198" t="s">
        <v>27</v>
      </c>
      <c r="G198" t="s">
        <v>33</v>
      </c>
      <c r="H198" t="s">
        <v>29</v>
      </c>
      <c r="I198" t="s">
        <v>30</v>
      </c>
      <c r="J198" s="3">
        <v>39</v>
      </c>
      <c r="K198">
        <v>1000</v>
      </c>
      <c r="L198">
        <v>51507.21</v>
      </c>
      <c r="M198">
        <v>0</v>
      </c>
      <c r="N198">
        <v>0</v>
      </c>
      <c r="O198" s="3">
        <v>41</v>
      </c>
      <c r="P198">
        <f>SUM($L$2:L198)</f>
        <v>91551906.589999944</v>
      </c>
      <c r="Q198" s="4">
        <f t="shared" si="15"/>
        <v>0.98421101804271116</v>
      </c>
      <c r="R198">
        <f t="shared" si="16"/>
        <v>1256.2734146341463</v>
      </c>
      <c r="S198">
        <f t="shared" si="17"/>
        <v>1256.2734146341463</v>
      </c>
      <c r="T198">
        <v>197</v>
      </c>
      <c r="U198" s="3">
        <f t="shared" si="19"/>
        <v>10194.937269372695</v>
      </c>
      <c r="V198">
        <f t="shared" si="18"/>
        <v>51.750950605952767</v>
      </c>
    </row>
    <row r="199" spans="1:22" x14ac:dyDescent="0.45">
      <c r="A199" t="s">
        <v>22</v>
      </c>
      <c r="B199" t="s">
        <v>23</v>
      </c>
      <c r="C199" t="s">
        <v>24</v>
      </c>
      <c r="D199" t="s">
        <v>31</v>
      </c>
      <c r="E199" t="s">
        <v>35</v>
      </c>
      <c r="F199" t="s">
        <v>27</v>
      </c>
      <c r="G199" t="s">
        <v>33</v>
      </c>
      <c r="H199" t="s">
        <v>36</v>
      </c>
      <c r="I199" t="s">
        <v>40</v>
      </c>
      <c r="J199" s="3">
        <v>44</v>
      </c>
      <c r="K199">
        <v>3000</v>
      </c>
      <c r="L199">
        <v>51348.38</v>
      </c>
      <c r="M199">
        <v>0</v>
      </c>
      <c r="N199">
        <v>0</v>
      </c>
      <c r="O199" s="3">
        <v>21</v>
      </c>
      <c r="P199">
        <f>SUM($L$2:L199)</f>
        <v>91603254.969999939</v>
      </c>
      <c r="Q199" s="4">
        <f t="shared" si="15"/>
        <v>0.98476302884441913</v>
      </c>
      <c r="R199">
        <f t="shared" si="16"/>
        <v>2445.160952380952</v>
      </c>
      <c r="S199">
        <f t="shared" si="17"/>
        <v>2445.160952380952</v>
      </c>
      <c r="T199">
        <v>198</v>
      </c>
      <c r="U199" s="3">
        <f t="shared" si="19"/>
        <v>10215.937269372695</v>
      </c>
      <c r="V199">
        <f t="shared" si="18"/>
        <v>51.595642774609566</v>
      </c>
    </row>
    <row r="200" spans="1:22" x14ac:dyDescent="0.45">
      <c r="A200" t="s">
        <v>38</v>
      </c>
      <c r="B200" t="s">
        <v>23</v>
      </c>
      <c r="C200" t="s">
        <v>24</v>
      </c>
      <c r="D200" t="s">
        <v>25</v>
      </c>
      <c r="E200" t="s">
        <v>26</v>
      </c>
      <c r="F200" t="s">
        <v>32</v>
      </c>
      <c r="G200" t="s">
        <v>28</v>
      </c>
      <c r="H200" t="s">
        <v>36</v>
      </c>
      <c r="I200" t="s">
        <v>40</v>
      </c>
      <c r="J200" s="3">
        <v>22</v>
      </c>
      <c r="K200">
        <v>1000</v>
      </c>
      <c r="L200">
        <v>51319.95</v>
      </c>
      <c r="M200">
        <v>0</v>
      </c>
      <c r="N200">
        <v>0</v>
      </c>
      <c r="O200" s="3">
        <v>44</v>
      </c>
      <c r="P200">
        <f>SUM($L$2:L200)</f>
        <v>91654574.919999942</v>
      </c>
      <c r="Q200" s="4">
        <f t="shared" si="15"/>
        <v>0.98531473401492531</v>
      </c>
      <c r="R200">
        <f t="shared" si="16"/>
        <v>1166.3625</v>
      </c>
      <c r="S200">
        <f t="shared" si="17"/>
        <v>1166.3625</v>
      </c>
      <c r="T200">
        <v>199</v>
      </c>
      <c r="U200" s="3">
        <f t="shared" si="19"/>
        <v>10259.937269372695</v>
      </c>
      <c r="V200">
        <f t="shared" si="18"/>
        <v>51.557473715440679</v>
      </c>
    </row>
    <row r="201" spans="1:22" x14ac:dyDescent="0.45">
      <c r="A201" t="s">
        <v>38</v>
      </c>
      <c r="B201" t="s">
        <v>34</v>
      </c>
      <c r="C201" t="s">
        <v>39</v>
      </c>
      <c r="D201" t="s">
        <v>31</v>
      </c>
      <c r="E201" t="s">
        <v>26</v>
      </c>
      <c r="F201" t="s">
        <v>27</v>
      </c>
      <c r="G201" t="s">
        <v>33</v>
      </c>
      <c r="H201" t="s">
        <v>36</v>
      </c>
      <c r="I201" t="s">
        <v>30</v>
      </c>
      <c r="J201" s="3">
        <v>46</v>
      </c>
      <c r="K201">
        <v>5000</v>
      </c>
      <c r="L201">
        <v>50969.8</v>
      </c>
      <c r="M201">
        <v>473475.99</v>
      </c>
      <c r="N201">
        <v>21</v>
      </c>
      <c r="O201" s="3">
        <v>91</v>
      </c>
      <c r="P201">
        <f>SUM($L$2:L201)</f>
        <v>91705544.719999939</v>
      </c>
      <c r="Q201" s="4">
        <f t="shared" si="15"/>
        <v>0.98586267496575763</v>
      </c>
      <c r="R201">
        <f t="shared" si="16"/>
        <v>560.10769230769233</v>
      </c>
      <c r="S201">
        <f t="shared" si="17"/>
        <v>5763.1405494505498</v>
      </c>
      <c r="T201">
        <v>200</v>
      </c>
      <c r="U201" s="3">
        <f t="shared" si="19"/>
        <v>10350.937269372695</v>
      </c>
      <c r="V201">
        <f t="shared" si="18"/>
        <v>51.754686346863473</v>
      </c>
    </row>
    <row r="202" spans="1:22" x14ac:dyDescent="0.45">
      <c r="A202" t="s">
        <v>22</v>
      </c>
      <c r="B202" t="s">
        <v>23</v>
      </c>
      <c r="C202" t="s">
        <v>24</v>
      </c>
      <c r="D202" t="s">
        <v>31</v>
      </c>
      <c r="E202" t="s">
        <v>35</v>
      </c>
      <c r="F202" t="s">
        <v>32</v>
      </c>
      <c r="G202" t="s">
        <v>33</v>
      </c>
      <c r="H202" t="s">
        <v>36</v>
      </c>
      <c r="I202" t="s">
        <v>30</v>
      </c>
      <c r="J202" s="3">
        <v>47</v>
      </c>
      <c r="K202">
        <v>4000</v>
      </c>
      <c r="L202">
        <v>50826.34</v>
      </c>
      <c r="M202">
        <v>108145.46</v>
      </c>
      <c r="N202">
        <v>1</v>
      </c>
      <c r="O202" s="3">
        <v>85</v>
      </c>
      <c r="P202">
        <f>SUM($L$2:L202)</f>
        <v>91756371.059999943</v>
      </c>
      <c r="Q202" s="4">
        <f t="shared" si="15"/>
        <v>0.98640907367767972</v>
      </c>
      <c r="R202">
        <f t="shared" si="16"/>
        <v>597.95694117647054</v>
      </c>
      <c r="S202">
        <f t="shared" si="17"/>
        <v>1870.2564705882351</v>
      </c>
      <c r="T202">
        <v>201</v>
      </c>
      <c r="U202" s="3">
        <f t="shared" si="19"/>
        <v>10435.937269372695</v>
      </c>
      <c r="V202">
        <f t="shared" si="18"/>
        <v>51.920085917277085</v>
      </c>
    </row>
    <row r="203" spans="1:22" x14ac:dyDescent="0.45">
      <c r="A203" t="s">
        <v>38</v>
      </c>
      <c r="B203" t="s">
        <v>23</v>
      </c>
      <c r="C203" t="s">
        <v>24</v>
      </c>
      <c r="D203" t="s">
        <v>31</v>
      </c>
      <c r="E203" t="s">
        <v>26</v>
      </c>
      <c r="F203" t="s">
        <v>27</v>
      </c>
      <c r="G203" t="s">
        <v>33</v>
      </c>
      <c r="H203" t="s">
        <v>36</v>
      </c>
      <c r="I203" t="s">
        <v>30</v>
      </c>
      <c r="J203" s="3">
        <v>64</v>
      </c>
      <c r="K203">
        <v>2000</v>
      </c>
      <c r="L203">
        <v>50223.45</v>
      </c>
      <c r="M203">
        <v>0</v>
      </c>
      <c r="N203">
        <v>0</v>
      </c>
      <c r="O203" s="3">
        <v>10</v>
      </c>
      <c r="P203">
        <f>SUM($L$2:L203)</f>
        <v>91806594.509999946</v>
      </c>
      <c r="Q203" s="4">
        <f t="shared" si="15"/>
        <v>0.98694899113756929</v>
      </c>
      <c r="R203">
        <f t="shared" si="16"/>
        <v>5022.3449999999993</v>
      </c>
      <c r="S203">
        <f t="shared" si="17"/>
        <v>5022.3449999999993</v>
      </c>
      <c r="T203">
        <v>202</v>
      </c>
      <c r="U203" s="3">
        <f t="shared" si="19"/>
        <v>10445.937269372695</v>
      </c>
      <c r="V203">
        <f t="shared" si="18"/>
        <v>51.712560739468785</v>
      </c>
    </row>
    <row r="204" spans="1:22" x14ac:dyDescent="0.45">
      <c r="A204" t="s">
        <v>38</v>
      </c>
      <c r="B204" t="s">
        <v>34</v>
      </c>
      <c r="C204" t="s">
        <v>39</v>
      </c>
      <c r="D204" t="s">
        <v>25</v>
      </c>
      <c r="E204" t="s">
        <v>26</v>
      </c>
      <c r="F204" t="s">
        <v>32</v>
      </c>
      <c r="G204" t="s">
        <v>28</v>
      </c>
      <c r="H204" t="s">
        <v>29</v>
      </c>
      <c r="I204" t="s">
        <v>30</v>
      </c>
      <c r="J204" s="3">
        <v>21</v>
      </c>
      <c r="K204">
        <v>7000</v>
      </c>
      <c r="L204">
        <v>47826.97</v>
      </c>
      <c r="M204">
        <v>0</v>
      </c>
      <c r="N204">
        <v>0</v>
      </c>
      <c r="O204" s="3">
        <v>19</v>
      </c>
      <c r="P204">
        <f>SUM($L$2:L204)</f>
        <v>91854421.479999945</v>
      </c>
      <c r="Q204" s="4">
        <f t="shared" si="15"/>
        <v>0.98746314570394444</v>
      </c>
      <c r="R204">
        <f t="shared" si="16"/>
        <v>2517.2089473684209</v>
      </c>
      <c r="S204">
        <f t="shared" si="17"/>
        <v>2517.2089473684209</v>
      </c>
      <c r="T204">
        <v>203</v>
      </c>
      <c r="U204" s="3">
        <f t="shared" si="19"/>
        <v>10464.937269372695</v>
      </c>
      <c r="V204">
        <f t="shared" si="18"/>
        <v>51.551415120062536</v>
      </c>
    </row>
    <row r="205" spans="1:22" x14ac:dyDescent="0.45">
      <c r="A205" t="s">
        <v>38</v>
      </c>
      <c r="B205" t="s">
        <v>34</v>
      </c>
      <c r="C205" t="s">
        <v>39</v>
      </c>
      <c r="D205" t="s">
        <v>31</v>
      </c>
      <c r="E205" t="s">
        <v>26</v>
      </c>
      <c r="F205" t="s">
        <v>32</v>
      </c>
      <c r="G205" t="s">
        <v>33</v>
      </c>
      <c r="H205" t="s">
        <v>36</v>
      </c>
      <c r="I205" t="s">
        <v>40</v>
      </c>
      <c r="J205" s="3">
        <v>39</v>
      </c>
      <c r="K205">
        <v>0</v>
      </c>
      <c r="L205">
        <v>43597.82</v>
      </c>
      <c r="M205">
        <v>0</v>
      </c>
      <c r="N205">
        <v>0</v>
      </c>
      <c r="O205" s="3">
        <v>48.940959409594093</v>
      </c>
      <c r="P205">
        <f>SUM($L$2:L205)</f>
        <v>91898019.299999937</v>
      </c>
      <c r="Q205" s="4">
        <f t="shared" si="15"/>
        <v>0.98793183561336162</v>
      </c>
      <c r="R205">
        <f t="shared" si="16"/>
        <v>890.8247922792732</v>
      </c>
      <c r="S205">
        <f t="shared" si="17"/>
        <v>890.8247922792732</v>
      </c>
      <c r="T205">
        <v>204</v>
      </c>
      <c r="U205" s="3">
        <f t="shared" si="19"/>
        <v>10513.878228782289</v>
      </c>
      <c r="V205">
        <f t="shared" si="18"/>
        <v>51.53861876854063</v>
      </c>
    </row>
    <row r="206" spans="1:22" x14ac:dyDescent="0.45">
      <c r="A206" t="s">
        <v>38</v>
      </c>
      <c r="B206" t="s">
        <v>34</v>
      </c>
      <c r="C206" t="s">
        <v>39</v>
      </c>
      <c r="D206" t="s">
        <v>25</v>
      </c>
      <c r="E206" t="s">
        <v>26</v>
      </c>
      <c r="F206" t="s">
        <v>27</v>
      </c>
      <c r="G206" t="s">
        <v>33</v>
      </c>
      <c r="H206" t="s">
        <v>36</v>
      </c>
      <c r="I206" t="s">
        <v>30</v>
      </c>
      <c r="J206" s="3">
        <v>68</v>
      </c>
      <c r="K206">
        <v>0</v>
      </c>
      <c r="L206">
        <v>42793.06</v>
      </c>
      <c r="M206">
        <v>0</v>
      </c>
      <c r="N206">
        <v>0</v>
      </c>
      <c r="O206" s="3">
        <v>48.940959409594093</v>
      </c>
      <c r="P206">
        <f>SUM($L$2:L206)</f>
        <v>91940812.35999994</v>
      </c>
      <c r="Q206" s="4">
        <f t="shared" si="15"/>
        <v>0.98839187410645801</v>
      </c>
      <c r="R206">
        <f t="shared" si="16"/>
        <v>874.38130588856211</v>
      </c>
      <c r="S206">
        <f t="shared" si="17"/>
        <v>874.38130588856211</v>
      </c>
      <c r="T206">
        <v>205</v>
      </c>
      <c r="U206" s="3">
        <f t="shared" si="19"/>
        <v>10562.819188191883</v>
      </c>
      <c r="V206">
        <f t="shared" si="18"/>
        <v>51.525947259472602</v>
      </c>
    </row>
    <row r="207" spans="1:22" x14ac:dyDescent="0.45">
      <c r="A207" t="s">
        <v>38</v>
      </c>
      <c r="B207" t="s">
        <v>23</v>
      </c>
      <c r="C207" t="s">
        <v>24</v>
      </c>
      <c r="D207" t="s">
        <v>31</v>
      </c>
      <c r="E207" t="s">
        <v>26</v>
      </c>
      <c r="F207" t="s">
        <v>32</v>
      </c>
      <c r="G207" t="s">
        <v>33</v>
      </c>
      <c r="H207" t="s">
        <v>36</v>
      </c>
      <c r="I207" t="s">
        <v>30</v>
      </c>
      <c r="J207" s="3">
        <v>49</v>
      </c>
      <c r="K207">
        <v>2000</v>
      </c>
      <c r="L207">
        <v>42541.23</v>
      </c>
      <c r="M207">
        <v>45000</v>
      </c>
      <c r="N207">
        <v>2</v>
      </c>
      <c r="O207" s="3">
        <v>36</v>
      </c>
      <c r="P207">
        <f>SUM($L$2:L207)</f>
        <v>91983353.589999944</v>
      </c>
      <c r="Q207" s="4">
        <f t="shared" si="15"/>
        <v>0.98884920534997423</v>
      </c>
      <c r="R207">
        <f t="shared" si="16"/>
        <v>1181.7008333333333</v>
      </c>
      <c r="S207">
        <f t="shared" si="17"/>
        <v>2431.7008333333338</v>
      </c>
      <c r="T207">
        <v>206</v>
      </c>
      <c r="U207" s="3">
        <f t="shared" si="19"/>
        <v>10598.819188191883</v>
      </c>
      <c r="V207">
        <f t="shared" si="18"/>
        <v>51.450578583455744</v>
      </c>
    </row>
    <row r="208" spans="1:22" x14ac:dyDescent="0.45">
      <c r="A208" t="s">
        <v>22</v>
      </c>
      <c r="B208" t="s">
        <v>23</v>
      </c>
      <c r="C208" t="s">
        <v>24</v>
      </c>
      <c r="D208" t="s">
        <v>25</v>
      </c>
      <c r="E208" t="s">
        <v>35</v>
      </c>
      <c r="F208" t="s">
        <v>27</v>
      </c>
      <c r="G208" t="s">
        <v>28</v>
      </c>
      <c r="H208" t="s">
        <v>29</v>
      </c>
      <c r="I208" t="s">
        <v>30</v>
      </c>
      <c r="J208" s="3">
        <v>29</v>
      </c>
      <c r="K208">
        <v>6000</v>
      </c>
      <c r="L208">
        <v>42026.63</v>
      </c>
      <c r="M208">
        <v>161246.10999999999</v>
      </c>
      <c r="N208">
        <v>3</v>
      </c>
      <c r="O208" s="3">
        <v>28</v>
      </c>
      <c r="P208">
        <f>SUM($L$2:L208)</f>
        <v>92025380.219999939</v>
      </c>
      <c r="Q208" s="4">
        <f t="shared" si="15"/>
        <v>0.98930100448598179</v>
      </c>
      <c r="R208">
        <f t="shared" si="16"/>
        <v>1500.9510714285714</v>
      </c>
      <c r="S208">
        <f t="shared" si="17"/>
        <v>7259.7407142857137</v>
      </c>
      <c r="T208">
        <v>207</v>
      </c>
      <c r="U208" s="3">
        <f t="shared" si="19"/>
        <v>10626.819188191883</v>
      </c>
      <c r="V208">
        <f t="shared" si="18"/>
        <v>51.337290764211993</v>
      </c>
    </row>
    <row r="209" spans="1:22" x14ac:dyDescent="0.45">
      <c r="A209" t="s">
        <v>38</v>
      </c>
      <c r="B209" t="s">
        <v>23</v>
      </c>
      <c r="C209" t="s">
        <v>24</v>
      </c>
      <c r="D209" t="s">
        <v>31</v>
      </c>
      <c r="E209" t="s">
        <v>26</v>
      </c>
      <c r="F209" t="s">
        <v>27</v>
      </c>
      <c r="G209" t="s">
        <v>33</v>
      </c>
      <c r="H209" t="s">
        <v>36</v>
      </c>
      <c r="I209" t="s">
        <v>30</v>
      </c>
      <c r="J209" s="3">
        <v>32</v>
      </c>
      <c r="K209">
        <v>3000</v>
      </c>
      <c r="L209">
        <v>39754.949999999997</v>
      </c>
      <c r="M209">
        <v>180162.43</v>
      </c>
      <c r="N209">
        <v>10</v>
      </c>
      <c r="O209" s="3">
        <v>56</v>
      </c>
      <c r="P209">
        <f>SUM($L$2:L209)</f>
        <v>92065135.169999942</v>
      </c>
      <c r="Q209" s="4">
        <f t="shared" si="15"/>
        <v>0.98972838236667371</v>
      </c>
      <c r="R209">
        <f t="shared" si="16"/>
        <v>709.90982142857138</v>
      </c>
      <c r="S209">
        <f t="shared" si="17"/>
        <v>3927.0960714285716</v>
      </c>
      <c r="T209">
        <v>208</v>
      </c>
      <c r="U209" s="3">
        <f t="shared" si="19"/>
        <v>10682.819188191883</v>
      </c>
      <c r="V209">
        <f t="shared" si="18"/>
        <v>51.359707635537902</v>
      </c>
    </row>
    <row r="210" spans="1:22" x14ac:dyDescent="0.45">
      <c r="A210" t="s">
        <v>38</v>
      </c>
      <c r="B210" t="s">
        <v>34</v>
      </c>
      <c r="C210" t="s">
        <v>39</v>
      </c>
      <c r="D210" t="s">
        <v>31</v>
      </c>
      <c r="E210" t="s">
        <v>35</v>
      </c>
      <c r="F210" t="s">
        <v>32</v>
      </c>
      <c r="G210" t="s">
        <v>33</v>
      </c>
      <c r="H210" t="s">
        <v>36</v>
      </c>
      <c r="I210" t="s">
        <v>30</v>
      </c>
      <c r="J210" s="3">
        <v>44</v>
      </c>
      <c r="K210">
        <v>2000</v>
      </c>
      <c r="L210">
        <v>39696</v>
      </c>
      <c r="M210">
        <v>0</v>
      </c>
      <c r="N210">
        <v>0</v>
      </c>
      <c r="O210" s="3">
        <v>20</v>
      </c>
      <c r="P210">
        <f>SUM($L$2:L210)</f>
        <v>92104831.169999942</v>
      </c>
      <c r="Q210" s="4">
        <f t="shared" si="15"/>
        <v>0.99015512651682214</v>
      </c>
      <c r="R210">
        <f t="shared" si="16"/>
        <v>1984.8</v>
      </c>
      <c r="S210">
        <f t="shared" si="17"/>
        <v>1984.8</v>
      </c>
      <c r="T210">
        <v>209</v>
      </c>
      <c r="U210" s="3">
        <f t="shared" si="19"/>
        <v>10702.819188191883</v>
      </c>
      <c r="V210">
        <f t="shared" si="18"/>
        <v>51.209661187520972</v>
      </c>
    </row>
    <row r="211" spans="1:22" x14ac:dyDescent="0.45">
      <c r="A211" t="s">
        <v>38</v>
      </c>
      <c r="B211" t="s">
        <v>34</v>
      </c>
      <c r="C211" t="s">
        <v>24</v>
      </c>
      <c r="D211" t="s">
        <v>31</v>
      </c>
      <c r="E211" t="s">
        <v>26</v>
      </c>
      <c r="F211" t="s">
        <v>27</v>
      </c>
      <c r="G211" t="s">
        <v>33</v>
      </c>
      <c r="H211" t="s">
        <v>36</v>
      </c>
      <c r="I211" t="s">
        <v>30</v>
      </c>
      <c r="J211" s="3">
        <v>27</v>
      </c>
      <c r="K211">
        <v>3000</v>
      </c>
      <c r="L211">
        <v>39132.36</v>
      </c>
      <c r="M211">
        <v>29000</v>
      </c>
      <c r="N211">
        <v>2</v>
      </c>
      <c r="O211" s="3">
        <v>63</v>
      </c>
      <c r="P211">
        <f>SUM($L$2:L211)</f>
        <v>92143963.529999942</v>
      </c>
      <c r="Q211" s="4">
        <f t="shared" si="15"/>
        <v>0.99057581136445172</v>
      </c>
      <c r="R211">
        <f t="shared" si="16"/>
        <v>621.14857142857147</v>
      </c>
      <c r="S211">
        <f t="shared" si="17"/>
        <v>1081.4660317460318</v>
      </c>
      <c r="T211">
        <v>210</v>
      </c>
      <c r="U211" s="3">
        <f t="shared" si="19"/>
        <v>10765.819188191883</v>
      </c>
      <c r="V211">
        <f t="shared" si="18"/>
        <v>51.265805658056586</v>
      </c>
    </row>
    <row r="212" spans="1:22" x14ac:dyDescent="0.45">
      <c r="A212" t="s">
        <v>22</v>
      </c>
      <c r="B212" t="s">
        <v>23</v>
      </c>
      <c r="C212" t="s">
        <v>24</v>
      </c>
      <c r="D212" t="s">
        <v>31</v>
      </c>
      <c r="E212" t="s">
        <v>35</v>
      </c>
      <c r="F212" t="s">
        <v>27</v>
      </c>
      <c r="G212" t="s">
        <v>28</v>
      </c>
      <c r="H212" t="s">
        <v>36</v>
      </c>
      <c r="I212" t="s">
        <v>30</v>
      </c>
      <c r="J212" s="3">
        <v>23</v>
      </c>
      <c r="K212">
        <v>11000</v>
      </c>
      <c r="L212">
        <v>38985.019999999997</v>
      </c>
      <c r="M212">
        <v>176838.27</v>
      </c>
      <c r="N212">
        <v>5</v>
      </c>
      <c r="O212" s="3">
        <v>17</v>
      </c>
      <c r="P212">
        <f>SUM($L$2:L212)</f>
        <v>92182948.549999937</v>
      </c>
      <c r="Q212" s="4">
        <f t="shared" si="15"/>
        <v>0.99099491226198355</v>
      </c>
      <c r="R212">
        <f t="shared" si="16"/>
        <v>2293.2364705882351</v>
      </c>
      <c r="S212">
        <f t="shared" si="17"/>
        <v>12695.487647058822</v>
      </c>
      <c r="T212">
        <v>211</v>
      </c>
      <c r="U212" s="3">
        <f t="shared" si="19"/>
        <v>10782.819188191883</v>
      </c>
      <c r="V212">
        <f t="shared" si="18"/>
        <v>51.10340847484305</v>
      </c>
    </row>
    <row r="213" spans="1:22" x14ac:dyDescent="0.45">
      <c r="A213" t="s">
        <v>38</v>
      </c>
      <c r="B213" t="s">
        <v>23</v>
      </c>
      <c r="C213" t="s">
        <v>24</v>
      </c>
      <c r="D213" t="s">
        <v>31</v>
      </c>
      <c r="E213" t="s">
        <v>26</v>
      </c>
      <c r="F213" t="s">
        <v>32</v>
      </c>
      <c r="G213" t="s">
        <v>33</v>
      </c>
      <c r="H213" t="s">
        <v>36</v>
      </c>
      <c r="I213" t="s">
        <v>40</v>
      </c>
      <c r="J213" s="3">
        <v>54</v>
      </c>
      <c r="K213">
        <v>2500</v>
      </c>
      <c r="L213">
        <v>37673.440000000002</v>
      </c>
      <c r="M213">
        <v>0</v>
      </c>
      <c r="N213">
        <v>0</v>
      </c>
      <c r="O213" s="3">
        <v>16</v>
      </c>
      <c r="P213">
        <f>SUM($L$2:L213)</f>
        <v>92220621.989999935</v>
      </c>
      <c r="Q213" s="4">
        <f t="shared" si="15"/>
        <v>0.99139991327306698</v>
      </c>
      <c r="R213">
        <f t="shared" si="16"/>
        <v>2354.59</v>
      </c>
      <c r="S213">
        <f t="shared" si="17"/>
        <v>2354.59</v>
      </c>
      <c r="T213">
        <v>212</v>
      </c>
      <c r="U213" s="3">
        <f t="shared" si="19"/>
        <v>10798.819188191883</v>
      </c>
      <c r="V213">
        <f t="shared" si="18"/>
        <v>50.937826359395672</v>
      </c>
    </row>
    <row r="214" spans="1:22" x14ac:dyDescent="0.45">
      <c r="A214" t="s">
        <v>38</v>
      </c>
      <c r="B214" t="s">
        <v>23</v>
      </c>
      <c r="C214" t="s">
        <v>24</v>
      </c>
      <c r="D214" t="s">
        <v>31</v>
      </c>
      <c r="E214" t="s">
        <v>35</v>
      </c>
      <c r="F214" t="s">
        <v>32</v>
      </c>
      <c r="G214" t="s">
        <v>33</v>
      </c>
      <c r="H214" t="s">
        <v>36</v>
      </c>
      <c r="I214" t="s">
        <v>30</v>
      </c>
      <c r="J214" s="3">
        <v>51</v>
      </c>
      <c r="K214">
        <v>0</v>
      </c>
      <c r="L214">
        <v>37142.720000000001</v>
      </c>
      <c r="M214">
        <v>0</v>
      </c>
      <c r="N214">
        <v>0</v>
      </c>
      <c r="O214" s="3">
        <v>48.940959409594093</v>
      </c>
      <c r="P214">
        <f>SUM($L$2:L214)</f>
        <v>92257764.709999934</v>
      </c>
      <c r="Q214" s="4">
        <f t="shared" si="15"/>
        <v>0.99179920888170769</v>
      </c>
      <c r="R214">
        <f t="shared" si="16"/>
        <v>758.92913518811736</v>
      </c>
      <c r="S214">
        <f t="shared" si="17"/>
        <v>758.92913518811736</v>
      </c>
      <c r="T214">
        <v>213</v>
      </c>
      <c r="U214" s="3">
        <f t="shared" si="19"/>
        <v>10847.760147601477</v>
      </c>
      <c r="V214">
        <f t="shared" si="18"/>
        <v>50.928451397190031</v>
      </c>
    </row>
    <row r="215" spans="1:22" x14ac:dyDescent="0.45">
      <c r="A215" t="s">
        <v>38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t="s">
        <v>28</v>
      </c>
      <c r="H215" t="s">
        <v>29</v>
      </c>
      <c r="I215" t="s">
        <v>30</v>
      </c>
      <c r="J215" s="3">
        <v>20</v>
      </c>
      <c r="K215">
        <v>22500</v>
      </c>
      <c r="L215">
        <v>36288.629999999997</v>
      </c>
      <c r="M215">
        <v>32344.240000000002</v>
      </c>
      <c r="N215">
        <v>2</v>
      </c>
      <c r="O215" s="3">
        <v>15</v>
      </c>
      <c r="P215">
        <f>SUM($L$2:L215)</f>
        <v>92294053.339999929</v>
      </c>
      <c r="Q215" s="4">
        <f t="shared" si="15"/>
        <v>0.99218932276142857</v>
      </c>
      <c r="R215">
        <f t="shared" si="16"/>
        <v>2419.2419999999997</v>
      </c>
      <c r="S215">
        <f t="shared" si="17"/>
        <v>4575.5246666666662</v>
      </c>
      <c r="T215">
        <v>214</v>
      </c>
      <c r="U215" s="3">
        <f t="shared" si="19"/>
        <v>10862.760147601477</v>
      </c>
      <c r="V215">
        <f t="shared" si="18"/>
        <v>50.760561437390081</v>
      </c>
    </row>
    <row r="216" spans="1:22" x14ac:dyDescent="0.45">
      <c r="A216" t="s">
        <v>38</v>
      </c>
      <c r="B216" t="s">
        <v>34</v>
      </c>
      <c r="C216" t="s">
        <v>24</v>
      </c>
      <c r="D216" t="s">
        <v>31</v>
      </c>
      <c r="E216" t="s">
        <v>35</v>
      </c>
      <c r="F216" t="s">
        <v>37</v>
      </c>
      <c r="G216" t="s">
        <v>28</v>
      </c>
      <c r="H216" t="s">
        <v>36</v>
      </c>
      <c r="I216" t="s">
        <v>30</v>
      </c>
      <c r="J216" s="3">
        <v>27</v>
      </c>
      <c r="K216">
        <v>5000</v>
      </c>
      <c r="L216">
        <v>35951.14</v>
      </c>
      <c r="M216">
        <v>39000</v>
      </c>
      <c r="N216">
        <v>4</v>
      </c>
      <c r="O216" s="3">
        <v>60</v>
      </c>
      <c r="P216">
        <f>SUM($L$2:L216)</f>
        <v>92330004.47999993</v>
      </c>
      <c r="Q216" s="4">
        <f t="shared" si="15"/>
        <v>0.99257580852035066</v>
      </c>
      <c r="R216">
        <f t="shared" si="16"/>
        <v>599.18566666666663</v>
      </c>
      <c r="S216">
        <f t="shared" si="17"/>
        <v>1249.1856666666667</v>
      </c>
      <c r="T216">
        <v>215</v>
      </c>
      <c r="U216" s="3">
        <f t="shared" si="19"/>
        <v>10922.760147601477</v>
      </c>
      <c r="V216">
        <f t="shared" si="18"/>
        <v>50.803535570239426</v>
      </c>
    </row>
    <row r="217" spans="1:22" x14ac:dyDescent="0.45">
      <c r="A217" t="s">
        <v>22</v>
      </c>
      <c r="B217" t="s">
        <v>23</v>
      </c>
      <c r="C217" t="s">
        <v>24</v>
      </c>
      <c r="D217" t="s">
        <v>31</v>
      </c>
      <c r="E217" t="s">
        <v>35</v>
      </c>
      <c r="F217" t="s">
        <v>32</v>
      </c>
      <c r="G217" t="s">
        <v>33</v>
      </c>
      <c r="H217" t="s">
        <v>36</v>
      </c>
      <c r="I217" t="s">
        <v>30</v>
      </c>
      <c r="J217" s="3">
        <v>54</v>
      </c>
      <c r="K217">
        <v>5000</v>
      </c>
      <c r="L217">
        <v>34478.89</v>
      </c>
      <c r="M217">
        <v>0</v>
      </c>
      <c r="N217">
        <v>0</v>
      </c>
      <c r="O217" s="3">
        <v>8</v>
      </c>
      <c r="P217">
        <f>SUM($L$2:L217)</f>
        <v>92364483.36999993</v>
      </c>
      <c r="Q217" s="4">
        <f t="shared" si="15"/>
        <v>0.99294646714114654</v>
      </c>
      <c r="R217">
        <f t="shared" si="16"/>
        <v>4309.8612499999999</v>
      </c>
      <c r="S217">
        <f t="shared" si="17"/>
        <v>4309.8612499999999</v>
      </c>
      <c r="T217">
        <v>216</v>
      </c>
      <c r="U217" s="3">
        <f t="shared" si="19"/>
        <v>10930.760147601477</v>
      </c>
      <c r="V217">
        <f t="shared" si="18"/>
        <v>50.605371053710542</v>
      </c>
    </row>
    <row r="218" spans="1:22" x14ac:dyDescent="0.45">
      <c r="A218" t="s">
        <v>22</v>
      </c>
      <c r="B218" t="s">
        <v>23</v>
      </c>
      <c r="C218" t="s">
        <v>24</v>
      </c>
      <c r="D218" t="s">
        <v>31</v>
      </c>
      <c r="E218" t="s">
        <v>26</v>
      </c>
      <c r="F218" t="s">
        <v>37</v>
      </c>
      <c r="G218" t="s">
        <v>33</v>
      </c>
      <c r="H218" t="s">
        <v>36</v>
      </c>
      <c r="I218" t="s">
        <v>30</v>
      </c>
      <c r="J218" s="3">
        <v>50</v>
      </c>
      <c r="K218">
        <v>6000</v>
      </c>
      <c r="L218">
        <v>34418.89</v>
      </c>
      <c r="M218">
        <v>0</v>
      </c>
      <c r="N218">
        <v>0</v>
      </c>
      <c r="O218" s="3">
        <v>4</v>
      </c>
      <c r="P218">
        <f>SUM($L$2:L218)</f>
        <v>92398902.259999931</v>
      </c>
      <c r="Q218" s="4">
        <f t="shared" si="15"/>
        <v>0.99331648074357759</v>
      </c>
      <c r="R218">
        <f t="shared" si="16"/>
        <v>8604.7224999999999</v>
      </c>
      <c r="S218">
        <f t="shared" si="17"/>
        <v>8604.7224999999999</v>
      </c>
      <c r="T218">
        <v>217</v>
      </c>
      <c r="U218" s="3">
        <f t="shared" si="19"/>
        <v>10934.760147601477</v>
      </c>
      <c r="V218">
        <f t="shared" si="18"/>
        <v>50.390599758532154</v>
      </c>
    </row>
    <row r="219" spans="1:22" x14ac:dyDescent="0.45">
      <c r="A219" t="s">
        <v>38</v>
      </c>
      <c r="B219" t="s">
        <v>23</v>
      </c>
      <c r="C219" t="s">
        <v>24</v>
      </c>
      <c r="D219" t="s">
        <v>31</v>
      </c>
      <c r="E219" t="s">
        <v>35</v>
      </c>
      <c r="F219" t="s">
        <v>32</v>
      </c>
      <c r="G219" t="s">
        <v>33</v>
      </c>
      <c r="H219" t="s">
        <v>36</v>
      </c>
      <c r="I219" t="s">
        <v>30</v>
      </c>
      <c r="J219" s="3">
        <v>60</v>
      </c>
      <c r="K219">
        <v>1000</v>
      </c>
      <c r="L219">
        <v>34051.99</v>
      </c>
      <c r="M219">
        <v>95000</v>
      </c>
      <c r="N219">
        <v>2</v>
      </c>
      <c r="O219" s="3">
        <v>86</v>
      </c>
      <c r="P219">
        <f>SUM($L$2:L219)</f>
        <v>92432954.249999925</v>
      </c>
      <c r="Q219" s="4">
        <f t="shared" si="15"/>
        <v>0.99368255005870798</v>
      </c>
      <c r="R219">
        <f t="shared" si="16"/>
        <v>395.95337209302323</v>
      </c>
      <c r="S219">
        <f t="shared" si="17"/>
        <v>1500.6045348837208</v>
      </c>
      <c r="T219">
        <v>218</v>
      </c>
      <c r="U219" s="3">
        <f t="shared" si="19"/>
        <v>11020.760147601477</v>
      </c>
      <c r="V219">
        <f t="shared" si="18"/>
        <v>50.553945631199433</v>
      </c>
    </row>
    <row r="220" spans="1:22" x14ac:dyDescent="0.45">
      <c r="A220" t="s">
        <v>22</v>
      </c>
      <c r="B220" t="s">
        <v>23</v>
      </c>
      <c r="C220" t="s">
        <v>24</v>
      </c>
      <c r="D220" t="s">
        <v>31</v>
      </c>
      <c r="E220" t="s">
        <v>26</v>
      </c>
      <c r="F220" t="s">
        <v>27</v>
      </c>
      <c r="G220" t="s">
        <v>33</v>
      </c>
      <c r="H220" t="s">
        <v>36</v>
      </c>
      <c r="I220" t="s">
        <v>30</v>
      </c>
      <c r="J220" s="3">
        <v>54</v>
      </c>
      <c r="K220">
        <v>4000</v>
      </c>
      <c r="L220">
        <v>33447.18</v>
      </c>
      <c r="M220">
        <v>382758.42</v>
      </c>
      <c r="N220">
        <v>4</v>
      </c>
      <c r="O220" s="3">
        <v>86</v>
      </c>
      <c r="P220">
        <f>SUM($L$2:L220)</f>
        <v>92466401.429999933</v>
      </c>
      <c r="Q220" s="4">
        <f t="shared" si="15"/>
        <v>0.99404211748121818</v>
      </c>
      <c r="R220">
        <f t="shared" si="16"/>
        <v>388.92069767441859</v>
      </c>
      <c r="S220">
        <f t="shared" si="17"/>
        <v>4839.5999999999995</v>
      </c>
      <c r="T220">
        <v>219</v>
      </c>
      <c r="U220" s="3">
        <f t="shared" si="19"/>
        <v>11106.760147601477</v>
      </c>
      <c r="V220">
        <f t="shared" si="18"/>
        <v>50.71579976073734</v>
      </c>
    </row>
    <row r="221" spans="1:22" x14ac:dyDescent="0.45">
      <c r="A221" t="s">
        <v>22</v>
      </c>
      <c r="B221" t="s">
        <v>23</v>
      </c>
      <c r="C221" t="s">
        <v>24</v>
      </c>
      <c r="D221" t="s">
        <v>31</v>
      </c>
      <c r="E221" t="s">
        <v>26</v>
      </c>
      <c r="F221" t="s">
        <v>32</v>
      </c>
      <c r="G221" t="s">
        <v>33</v>
      </c>
      <c r="H221" t="s">
        <v>36</v>
      </c>
      <c r="I221" t="s">
        <v>30</v>
      </c>
      <c r="J221" s="3">
        <v>37</v>
      </c>
      <c r="K221">
        <v>14000</v>
      </c>
      <c r="L221">
        <v>32329.48</v>
      </c>
      <c r="M221">
        <v>0</v>
      </c>
      <c r="N221">
        <v>0</v>
      </c>
      <c r="O221" s="3">
        <v>2</v>
      </c>
      <c r="P221">
        <f>SUM($L$2:L221)</f>
        <v>92498730.909999937</v>
      </c>
      <c r="Q221" s="4">
        <f t="shared" si="15"/>
        <v>0.99438966928662287</v>
      </c>
      <c r="R221">
        <f t="shared" si="16"/>
        <v>16164.74</v>
      </c>
      <c r="S221">
        <f t="shared" si="17"/>
        <v>16164.74</v>
      </c>
      <c r="T221">
        <v>220</v>
      </c>
      <c r="U221" s="3">
        <f t="shared" si="19"/>
        <v>11108.760147601477</v>
      </c>
      <c r="V221">
        <f t="shared" si="18"/>
        <v>50.49436430727944</v>
      </c>
    </row>
    <row r="222" spans="1:22" x14ac:dyDescent="0.45">
      <c r="A222" t="s">
        <v>38</v>
      </c>
      <c r="B222" t="s">
        <v>23</v>
      </c>
      <c r="C222" t="s">
        <v>24</v>
      </c>
      <c r="D222" t="s">
        <v>31</v>
      </c>
      <c r="E222" t="s">
        <v>35</v>
      </c>
      <c r="F222" t="s">
        <v>27</v>
      </c>
      <c r="G222" t="s">
        <v>28</v>
      </c>
      <c r="H222" t="s">
        <v>29</v>
      </c>
      <c r="I222" t="s">
        <v>30</v>
      </c>
      <c r="J222" s="3">
        <v>26</v>
      </c>
      <c r="K222">
        <v>4000</v>
      </c>
      <c r="L222">
        <v>31397.46</v>
      </c>
      <c r="M222">
        <v>281113.95</v>
      </c>
      <c r="N222">
        <v>26</v>
      </c>
      <c r="O222" s="3">
        <v>50</v>
      </c>
      <c r="P222">
        <f>SUM($L$2:L222)</f>
        <v>92530128.36999993</v>
      </c>
      <c r="Q222" s="4">
        <f t="shared" si="15"/>
        <v>0.99472720159175487</v>
      </c>
      <c r="R222">
        <f t="shared" si="16"/>
        <v>627.94920000000002</v>
      </c>
      <c r="S222">
        <f t="shared" si="17"/>
        <v>6250.2282000000005</v>
      </c>
      <c r="T222">
        <v>221</v>
      </c>
      <c r="U222" s="3">
        <f t="shared" si="19"/>
        <v>11158.760147601477</v>
      </c>
      <c r="V222">
        <f t="shared" si="18"/>
        <v>50.492127364712566</v>
      </c>
    </row>
    <row r="223" spans="1:22" x14ac:dyDescent="0.45">
      <c r="A223" t="s">
        <v>38</v>
      </c>
      <c r="B223" t="s">
        <v>34</v>
      </c>
      <c r="C223" t="s">
        <v>39</v>
      </c>
      <c r="D223" t="s">
        <v>25</v>
      </c>
      <c r="E223" t="s">
        <v>26</v>
      </c>
      <c r="F223" t="s">
        <v>27</v>
      </c>
      <c r="G223" t="s">
        <v>33</v>
      </c>
      <c r="H223" t="s">
        <v>36</v>
      </c>
      <c r="I223" t="s">
        <v>30</v>
      </c>
      <c r="J223" s="3">
        <v>70</v>
      </c>
      <c r="K223">
        <v>0</v>
      </c>
      <c r="L223">
        <v>30502.99</v>
      </c>
      <c r="M223">
        <v>0</v>
      </c>
      <c r="N223">
        <v>0</v>
      </c>
      <c r="O223" s="3">
        <v>48.940959409594093</v>
      </c>
      <c r="P223">
        <f>SUM($L$2:L223)</f>
        <v>92560631.359999925</v>
      </c>
      <c r="Q223" s="4">
        <f t="shared" si="15"/>
        <v>0.99505511807060754</v>
      </c>
      <c r="R223">
        <f t="shared" si="16"/>
        <v>623.26097338460386</v>
      </c>
      <c r="S223">
        <f t="shared" si="17"/>
        <v>623.26097338460386</v>
      </c>
      <c r="T223">
        <v>222</v>
      </c>
      <c r="U223" s="3">
        <f t="shared" si="19"/>
        <v>11207.701107011071</v>
      </c>
      <c r="V223">
        <f t="shared" si="18"/>
        <v>50.485140121671492</v>
      </c>
    </row>
    <row r="224" spans="1:22" x14ac:dyDescent="0.45">
      <c r="A224" t="s">
        <v>38</v>
      </c>
      <c r="B224" t="s">
        <v>23</v>
      </c>
      <c r="C224" t="s">
        <v>24</v>
      </c>
      <c r="D224" t="s">
        <v>31</v>
      </c>
      <c r="E224" t="s">
        <v>26</v>
      </c>
      <c r="F224" t="s">
        <v>27</v>
      </c>
      <c r="G224" t="s">
        <v>33</v>
      </c>
      <c r="H224" t="s">
        <v>36</v>
      </c>
      <c r="I224" t="s">
        <v>30</v>
      </c>
      <c r="J224" s="3">
        <v>32</v>
      </c>
      <c r="K224">
        <v>0</v>
      </c>
      <c r="L224">
        <v>29779.15</v>
      </c>
      <c r="M224">
        <v>0</v>
      </c>
      <c r="N224">
        <v>0</v>
      </c>
      <c r="O224" s="3">
        <v>14</v>
      </c>
      <c r="P224">
        <f>SUM($L$2:L224)</f>
        <v>92590410.509999931</v>
      </c>
      <c r="Q224" s="4">
        <f t="shared" si="15"/>
        <v>0.99537525304790742</v>
      </c>
      <c r="R224">
        <f t="shared" si="16"/>
        <v>2127.082142857143</v>
      </c>
      <c r="S224">
        <f t="shared" si="17"/>
        <v>2127.082142857143</v>
      </c>
      <c r="T224">
        <v>223</v>
      </c>
      <c r="U224" s="3">
        <f t="shared" si="19"/>
        <v>11221.701107011071</v>
      </c>
      <c r="V224">
        <f t="shared" si="18"/>
        <v>50.321529627852335</v>
      </c>
    </row>
    <row r="225" spans="1:22" x14ac:dyDescent="0.45">
      <c r="A225" t="s">
        <v>22</v>
      </c>
      <c r="B225" t="s">
        <v>23</v>
      </c>
      <c r="C225" t="s">
        <v>24</v>
      </c>
      <c r="D225" t="s">
        <v>31</v>
      </c>
      <c r="E225" t="s">
        <v>26</v>
      </c>
      <c r="F225" t="s">
        <v>27</v>
      </c>
      <c r="G225" t="s">
        <v>33</v>
      </c>
      <c r="H225" t="s">
        <v>36</v>
      </c>
      <c r="I225" t="s">
        <v>40</v>
      </c>
      <c r="J225" s="3">
        <v>44</v>
      </c>
      <c r="K225">
        <v>0</v>
      </c>
      <c r="L225">
        <v>28627.68</v>
      </c>
      <c r="M225">
        <v>50770.71</v>
      </c>
      <c r="N225">
        <v>1</v>
      </c>
      <c r="O225" s="3">
        <v>91</v>
      </c>
      <c r="P225">
        <f>SUM($L$2:L225)</f>
        <v>92619038.189999938</v>
      </c>
      <c r="Q225" s="4">
        <f t="shared" si="15"/>
        <v>0.99568300937026544</v>
      </c>
      <c r="R225">
        <f t="shared" si="16"/>
        <v>314.58989010989012</v>
      </c>
      <c r="S225">
        <f t="shared" si="17"/>
        <v>872.50978021978017</v>
      </c>
      <c r="T225">
        <v>224</v>
      </c>
      <c r="U225" s="3">
        <f t="shared" si="19"/>
        <v>11312.701107011071</v>
      </c>
      <c r="V225">
        <f t="shared" si="18"/>
        <v>50.503129942013707</v>
      </c>
    </row>
    <row r="226" spans="1:22" x14ac:dyDescent="0.45">
      <c r="A226" t="s">
        <v>38</v>
      </c>
      <c r="B226" t="s">
        <v>23</v>
      </c>
      <c r="C226" t="s">
        <v>39</v>
      </c>
      <c r="D226" t="s">
        <v>25</v>
      </c>
      <c r="E226" t="s">
        <v>26</v>
      </c>
      <c r="F226" t="s">
        <v>27</v>
      </c>
      <c r="G226" t="s">
        <v>28</v>
      </c>
      <c r="H226" t="s">
        <v>29</v>
      </c>
      <c r="I226" t="s">
        <v>30</v>
      </c>
      <c r="J226" s="3">
        <v>20</v>
      </c>
      <c r="K226">
        <v>10000</v>
      </c>
      <c r="L226">
        <v>28043.05</v>
      </c>
      <c r="M226">
        <v>0</v>
      </c>
      <c r="N226">
        <v>0</v>
      </c>
      <c r="O226" s="3">
        <v>3</v>
      </c>
      <c r="P226">
        <f>SUM($L$2:L226)</f>
        <v>92647081.239999935</v>
      </c>
      <c r="Q226" s="4">
        <f t="shared" si="15"/>
        <v>0.99598448074117996</v>
      </c>
      <c r="R226">
        <f t="shared" si="16"/>
        <v>9347.6833333333325</v>
      </c>
      <c r="S226">
        <f t="shared" si="17"/>
        <v>9347.6833333333325</v>
      </c>
      <c r="T226">
        <v>225</v>
      </c>
      <c r="U226" s="3">
        <f t="shared" si="19"/>
        <v>11315.701107011071</v>
      </c>
      <c r="V226">
        <f t="shared" si="18"/>
        <v>50.292004920049202</v>
      </c>
    </row>
    <row r="227" spans="1:22" x14ac:dyDescent="0.45">
      <c r="A227" t="s">
        <v>22</v>
      </c>
      <c r="B227" t="s">
        <v>34</v>
      </c>
      <c r="C227" t="s">
        <v>24</v>
      </c>
      <c r="D227" t="s">
        <v>31</v>
      </c>
      <c r="E227" t="s">
        <v>26</v>
      </c>
      <c r="F227" t="s">
        <v>27</v>
      </c>
      <c r="G227" t="s">
        <v>33</v>
      </c>
      <c r="H227" t="s">
        <v>36</v>
      </c>
      <c r="I227" t="s">
        <v>40</v>
      </c>
      <c r="J227" s="3">
        <v>38</v>
      </c>
      <c r="K227">
        <v>3000</v>
      </c>
      <c r="L227">
        <v>23029.27</v>
      </c>
      <c r="M227">
        <v>0</v>
      </c>
      <c r="N227">
        <v>0</v>
      </c>
      <c r="O227" s="3">
        <v>6</v>
      </c>
      <c r="P227">
        <f>SUM($L$2:L227)</f>
        <v>92670110.509999931</v>
      </c>
      <c r="Q227" s="4">
        <f t="shared" si="15"/>
        <v>0.99623205244247703</v>
      </c>
      <c r="R227">
        <f t="shared" si="16"/>
        <v>3838.2116666666666</v>
      </c>
      <c r="S227">
        <f t="shared" si="17"/>
        <v>3838.2116666666666</v>
      </c>
      <c r="T227">
        <v>226</v>
      </c>
      <c r="U227" s="3">
        <f t="shared" si="19"/>
        <v>11321.701107011071</v>
      </c>
      <c r="V227">
        <f t="shared" si="18"/>
        <v>50.096022597394118</v>
      </c>
    </row>
    <row r="228" spans="1:22" x14ac:dyDescent="0.45">
      <c r="A228" t="s">
        <v>22</v>
      </c>
      <c r="B228" t="s">
        <v>23</v>
      </c>
      <c r="C228" t="s">
        <v>24</v>
      </c>
      <c r="D228" t="s">
        <v>31</v>
      </c>
      <c r="E228" t="s">
        <v>26</v>
      </c>
      <c r="F228" t="s">
        <v>27</v>
      </c>
      <c r="G228" t="s">
        <v>33</v>
      </c>
      <c r="H228" t="s">
        <v>29</v>
      </c>
      <c r="I228" t="s">
        <v>30</v>
      </c>
      <c r="J228" s="3">
        <v>42</v>
      </c>
      <c r="K228">
        <v>3500</v>
      </c>
      <c r="L228">
        <v>22414.43</v>
      </c>
      <c r="M228">
        <v>292843.96000000002</v>
      </c>
      <c r="N228">
        <v>4</v>
      </c>
      <c r="O228" s="3">
        <v>80</v>
      </c>
      <c r="P228">
        <f>SUM($L$2:L228)</f>
        <v>92692524.939999938</v>
      </c>
      <c r="Q228" s="4">
        <f t="shared" si="15"/>
        <v>0.996473014425584</v>
      </c>
      <c r="R228">
        <f t="shared" si="16"/>
        <v>280.18037500000003</v>
      </c>
      <c r="S228">
        <f t="shared" si="17"/>
        <v>3940.729875</v>
      </c>
      <c r="T228">
        <v>227</v>
      </c>
      <c r="U228" s="3">
        <f t="shared" si="19"/>
        <v>11401.701107011071</v>
      </c>
      <c r="V228">
        <f t="shared" si="18"/>
        <v>50.227758180665511</v>
      </c>
    </row>
    <row r="229" spans="1:22" x14ac:dyDescent="0.45">
      <c r="A229" t="s">
        <v>22</v>
      </c>
      <c r="B229" t="s">
        <v>23</v>
      </c>
      <c r="C229" t="s">
        <v>24</v>
      </c>
      <c r="D229" t="s">
        <v>31</v>
      </c>
      <c r="E229" t="s">
        <v>26</v>
      </c>
      <c r="F229" t="s">
        <v>27</v>
      </c>
      <c r="G229" t="s">
        <v>33</v>
      </c>
      <c r="H229" t="s">
        <v>36</v>
      </c>
      <c r="I229" t="s">
        <v>30</v>
      </c>
      <c r="J229" s="3">
        <v>34</v>
      </c>
      <c r="K229">
        <v>5000</v>
      </c>
      <c r="L229">
        <v>22391.68</v>
      </c>
      <c r="M229">
        <v>0</v>
      </c>
      <c r="N229">
        <v>0</v>
      </c>
      <c r="O229" s="3">
        <v>4</v>
      </c>
      <c r="P229">
        <f>SUM($L$2:L229)</f>
        <v>92714916.619999945</v>
      </c>
      <c r="Q229" s="4">
        <f t="shared" si="15"/>
        <v>0.99671373183922773</v>
      </c>
      <c r="R229">
        <f t="shared" si="16"/>
        <v>5597.92</v>
      </c>
      <c r="S229">
        <f t="shared" si="17"/>
        <v>5597.92</v>
      </c>
      <c r="T229">
        <v>228</v>
      </c>
      <c r="U229" s="3">
        <f t="shared" si="19"/>
        <v>11405.701107011071</v>
      </c>
      <c r="V229">
        <f t="shared" si="18"/>
        <v>50.025004855311714</v>
      </c>
    </row>
    <row r="230" spans="1:22" x14ac:dyDescent="0.45">
      <c r="A230" t="s">
        <v>22</v>
      </c>
      <c r="B230" t="s">
        <v>23</v>
      </c>
      <c r="C230" t="s">
        <v>24</v>
      </c>
      <c r="D230" t="s">
        <v>31</v>
      </c>
      <c r="E230" t="s">
        <v>35</v>
      </c>
      <c r="F230" t="s">
        <v>37</v>
      </c>
      <c r="G230" t="s">
        <v>28</v>
      </c>
      <c r="H230" t="s">
        <v>29</v>
      </c>
      <c r="I230" t="s">
        <v>40</v>
      </c>
      <c r="J230" s="3">
        <v>25</v>
      </c>
      <c r="K230">
        <v>10000</v>
      </c>
      <c r="L230">
        <v>20414</v>
      </c>
      <c r="M230">
        <v>0</v>
      </c>
      <c r="N230">
        <v>0</v>
      </c>
      <c r="O230" s="3">
        <v>3</v>
      </c>
      <c r="P230">
        <f>SUM($L$2:L230)</f>
        <v>92735330.619999945</v>
      </c>
      <c r="Q230" s="4">
        <f t="shared" si="15"/>
        <v>0.99693318858754321</v>
      </c>
      <c r="R230">
        <f t="shared" si="16"/>
        <v>6804.666666666667</v>
      </c>
      <c r="S230">
        <f t="shared" si="17"/>
        <v>6804.666666666667</v>
      </c>
      <c r="T230">
        <v>229</v>
      </c>
      <c r="U230" s="3">
        <f t="shared" si="19"/>
        <v>11408.701107011071</v>
      </c>
      <c r="V230">
        <f t="shared" si="18"/>
        <v>49.819655489131314</v>
      </c>
    </row>
    <row r="231" spans="1:22" x14ac:dyDescent="0.45">
      <c r="A231" t="s">
        <v>38</v>
      </c>
      <c r="B231" t="s">
        <v>34</v>
      </c>
      <c r="C231" t="s">
        <v>24</v>
      </c>
      <c r="D231" t="s">
        <v>25</v>
      </c>
      <c r="E231" t="s">
        <v>35</v>
      </c>
      <c r="F231" t="s">
        <v>32</v>
      </c>
      <c r="G231" t="s">
        <v>28</v>
      </c>
      <c r="H231" t="s">
        <v>36</v>
      </c>
      <c r="I231" t="s">
        <v>40</v>
      </c>
      <c r="J231" s="3">
        <v>21</v>
      </c>
      <c r="K231">
        <v>8000</v>
      </c>
      <c r="L231">
        <v>20294.830000000002</v>
      </c>
      <c r="M231">
        <v>0</v>
      </c>
      <c r="N231">
        <v>0</v>
      </c>
      <c r="O231" s="3">
        <v>3</v>
      </c>
      <c r="P231">
        <f>SUM($L$2:L231)</f>
        <v>92755625.449999943</v>
      </c>
      <c r="Q231" s="4">
        <f t="shared" si="15"/>
        <v>0.99715136422188311</v>
      </c>
      <c r="R231">
        <f t="shared" si="16"/>
        <v>6764.9433333333336</v>
      </c>
      <c r="S231">
        <f t="shared" si="17"/>
        <v>6764.9433333333336</v>
      </c>
      <c r="T231">
        <v>230</v>
      </c>
      <c r="U231" s="3">
        <f t="shared" si="19"/>
        <v>11411.701107011071</v>
      </c>
      <c r="V231">
        <f t="shared" si="18"/>
        <v>49.616091769613355</v>
      </c>
    </row>
    <row r="232" spans="1:22" x14ac:dyDescent="0.45">
      <c r="A232" t="s">
        <v>38</v>
      </c>
      <c r="B232" t="s">
        <v>23</v>
      </c>
      <c r="C232" t="s">
        <v>24</v>
      </c>
      <c r="D232" t="s">
        <v>31</v>
      </c>
      <c r="E232" t="s">
        <v>26</v>
      </c>
      <c r="F232" t="s">
        <v>37</v>
      </c>
      <c r="G232" t="s">
        <v>28</v>
      </c>
      <c r="H232" t="s">
        <v>36</v>
      </c>
      <c r="I232" t="s">
        <v>40</v>
      </c>
      <c r="J232" s="3">
        <v>20</v>
      </c>
      <c r="K232">
        <v>2000</v>
      </c>
      <c r="L232">
        <v>20120.11</v>
      </c>
      <c r="M232">
        <v>0</v>
      </c>
      <c r="N232">
        <v>0</v>
      </c>
      <c r="O232" s="3">
        <v>3</v>
      </c>
      <c r="P232">
        <f>SUM($L$2:L232)</f>
        <v>92775745.559999943</v>
      </c>
      <c r="Q232" s="4">
        <f t="shared" si="15"/>
        <v>0.9973676615627447</v>
      </c>
      <c r="R232">
        <f t="shared" si="16"/>
        <v>6706.7033333333338</v>
      </c>
      <c r="S232">
        <f t="shared" si="17"/>
        <v>6706.7033333333338</v>
      </c>
      <c r="T232">
        <v>231</v>
      </c>
      <c r="U232" s="3">
        <f t="shared" si="19"/>
        <v>11414.701107011071</v>
      </c>
      <c r="V232">
        <f t="shared" si="18"/>
        <v>49.414290506541434</v>
      </c>
    </row>
    <row r="233" spans="1:22" x14ac:dyDescent="0.45">
      <c r="A233" t="s">
        <v>22</v>
      </c>
      <c r="B233" t="s">
        <v>23</v>
      </c>
      <c r="C233" t="s">
        <v>24</v>
      </c>
      <c r="D233" t="s">
        <v>25</v>
      </c>
      <c r="E233" t="s">
        <v>35</v>
      </c>
      <c r="F233" t="s">
        <v>32</v>
      </c>
      <c r="G233" t="s">
        <v>28</v>
      </c>
      <c r="H233" t="s">
        <v>36</v>
      </c>
      <c r="I233" t="s">
        <v>40</v>
      </c>
      <c r="J233" s="3">
        <v>22</v>
      </c>
      <c r="K233">
        <v>15000</v>
      </c>
      <c r="L233">
        <v>18431.580000000002</v>
      </c>
      <c r="M233">
        <v>0</v>
      </c>
      <c r="N233">
        <v>0</v>
      </c>
      <c r="O233" s="3">
        <v>1</v>
      </c>
      <c r="P233">
        <f>SUM($L$2:L233)</f>
        <v>92794177.139999941</v>
      </c>
      <c r="Q233" s="4">
        <f t="shared" si="15"/>
        <v>0.9975658066892813</v>
      </c>
      <c r="R233">
        <f t="shared" si="16"/>
        <v>18431.580000000002</v>
      </c>
      <c r="S233">
        <f t="shared" si="17"/>
        <v>18431.580000000002</v>
      </c>
      <c r="T233">
        <v>232</v>
      </c>
      <c r="U233" s="3">
        <f t="shared" si="19"/>
        <v>11415.701107011071</v>
      </c>
      <c r="V233">
        <f t="shared" si="18"/>
        <v>49.205608219875309</v>
      </c>
    </row>
    <row r="234" spans="1:22" x14ac:dyDescent="0.45">
      <c r="A234" t="s">
        <v>38</v>
      </c>
      <c r="B234" t="s">
        <v>23</v>
      </c>
      <c r="C234" t="s">
        <v>24</v>
      </c>
      <c r="D234" t="s">
        <v>31</v>
      </c>
      <c r="E234" t="s">
        <v>35</v>
      </c>
      <c r="F234" t="s">
        <v>27</v>
      </c>
      <c r="G234" t="s">
        <v>33</v>
      </c>
      <c r="H234" t="s">
        <v>36</v>
      </c>
      <c r="I234" t="s">
        <v>40</v>
      </c>
      <c r="J234" s="3">
        <v>30</v>
      </c>
      <c r="K234">
        <v>0</v>
      </c>
      <c r="L234">
        <v>17444.89</v>
      </c>
      <c r="M234">
        <v>38011.660000000003</v>
      </c>
      <c r="N234">
        <v>3</v>
      </c>
      <c r="O234" s="3">
        <v>60</v>
      </c>
      <c r="P234">
        <f>SUM($L$2:L234)</f>
        <v>92811622.029999942</v>
      </c>
      <c r="Q234" s="4">
        <f t="shared" si="15"/>
        <v>0.99775334459631182</v>
      </c>
      <c r="R234">
        <f t="shared" si="16"/>
        <v>290.74816666666663</v>
      </c>
      <c r="S234">
        <f t="shared" si="17"/>
        <v>924.27583333333337</v>
      </c>
      <c r="T234">
        <v>233</v>
      </c>
      <c r="U234" s="3">
        <f t="shared" si="19"/>
        <v>11475.701107011071</v>
      </c>
      <c r="V234">
        <f t="shared" si="18"/>
        <v>49.251936081592582</v>
      </c>
    </row>
    <row r="235" spans="1:22" x14ac:dyDescent="0.45">
      <c r="A235" t="s">
        <v>38</v>
      </c>
      <c r="B235" t="s">
        <v>34</v>
      </c>
      <c r="C235" t="s">
        <v>39</v>
      </c>
      <c r="D235" t="s">
        <v>25</v>
      </c>
      <c r="E235" t="s">
        <v>35</v>
      </c>
      <c r="F235" t="s">
        <v>32</v>
      </c>
      <c r="G235" t="s">
        <v>33</v>
      </c>
      <c r="H235" t="s">
        <v>36</v>
      </c>
      <c r="I235" t="s">
        <v>40</v>
      </c>
      <c r="J235" s="3">
        <v>60</v>
      </c>
      <c r="K235">
        <v>4000</v>
      </c>
      <c r="L235">
        <v>17013.27</v>
      </c>
      <c r="M235">
        <v>0</v>
      </c>
      <c r="N235">
        <v>0</v>
      </c>
      <c r="O235" s="3">
        <v>2</v>
      </c>
      <c r="P235">
        <f>SUM($L$2:L235)</f>
        <v>92828635.299999937</v>
      </c>
      <c r="Q235" s="4">
        <f t="shared" si="15"/>
        <v>0.99793624245623203</v>
      </c>
      <c r="R235">
        <f t="shared" si="16"/>
        <v>8506.6350000000002</v>
      </c>
      <c r="S235">
        <f t="shared" si="17"/>
        <v>8506.6350000000002</v>
      </c>
      <c r="T235">
        <v>234</v>
      </c>
      <c r="U235" s="3">
        <f t="shared" si="19"/>
        <v>11477.701107011071</v>
      </c>
      <c r="V235">
        <f t="shared" si="18"/>
        <v>49.050004730816546</v>
      </c>
    </row>
    <row r="236" spans="1:22" x14ac:dyDescent="0.45">
      <c r="A236" t="s">
        <v>38</v>
      </c>
      <c r="B236" t="s">
        <v>34</v>
      </c>
      <c r="C236" t="s">
        <v>39</v>
      </c>
      <c r="D236" t="s">
        <v>31</v>
      </c>
      <c r="E236" t="s">
        <v>26</v>
      </c>
      <c r="F236" t="s">
        <v>27</v>
      </c>
      <c r="G236" t="s">
        <v>33</v>
      </c>
      <c r="H236" t="s">
        <v>36</v>
      </c>
      <c r="I236" t="s">
        <v>30</v>
      </c>
      <c r="J236" s="3">
        <v>31</v>
      </c>
      <c r="K236">
        <v>2000</v>
      </c>
      <c r="L236">
        <v>15053.78</v>
      </c>
      <c r="M236">
        <v>130000</v>
      </c>
      <c r="N236">
        <v>3</v>
      </c>
      <c r="O236" s="3">
        <v>35</v>
      </c>
      <c r="P236">
        <f>SUM($L$2:L236)</f>
        <v>92843689.079999939</v>
      </c>
      <c r="Q236" s="4">
        <f t="shared" si="15"/>
        <v>0.99809807519889182</v>
      </c>
      <c r="R236">
        <f t="shared" si="16"/>
        <v>430.108</v>
      </c>
      <c r="S236">
        <f t="shared" si="17"/>
        <v>4144.3937142857139</v>
      </c>
      <c r="T236">
        <v>235</v>
      </c>
      <c r="U236" s="3">
        <f t="shared" si="19"/>
        <v>11512.701107011071</v>
      </c>
      <c r="V236">
        <f t="shared" si="18"/>
        <v>48.990217476642854</v>
      </c>
    </row>
    <row r="237" spans="1:22" x14ac:dyDescent="0.45">
      <c r="A237" t="s">
        <v>38</v>
      </c>
      <c r="B237" t="s">
        <v>23</v>
      </c>
      <c r="C237" t="s">
        <v>24</v>
      </c>
      <c r="D237" t="s">
        <v>31</v>
      </c>
      <c r="E237" t="s">
        <v>26</v>
      </c>
      <c r="F237" t="s">
        <v>27</v>
      </c>
      <c r="G237" t="s">
        <v>33</v>
      </c>
      <c r="H237" t="s">
        <v>36</v>
      </c>
      <c r="I237" t="s">
        <v>30</v>
      </c>
      <c r="J237" s="3">
        <v>48</v>
      </c>
      <c r="K237">
        <v>2000</v>
      </c>
      <c r="L237">
        <v>13934.53</v>
      </c>
      <c r="M237">
        <v>112998.29</v>
      </c>
      <c r="N237">
        <v>3</v>
      </c>
      <c r="O237" s="3">
        <v>60</v>
      </c>
      <c r="P237">
        <f>SUM($L$2:L237)</f>
        <v>92857623.60999994</v>
      </c>
      <c r="Q237" s="4">
        <f t="shared" si="15"/>
        <v>0.99824787566147166</v>
      </c>
      <c r="R237">
        <f t="shared" si="16"/>
        <v>232.24216666666669</v>
      </c>
      <c r="S237">
        <f t="shared" si="17"/>
        <v>2115.547</v>
      </c>
      <c r="T237">
        <v>236</v>
      </c>
      <c r="U237" s="3">
        <f t="shared" si="19"/>
        <v>11572.701107011071</v>
      </c>
      <c r="V237">
        <f t="shared" si="18"/>
        <v>49.036869097504535</v>
      </c>
    </row>
    <row r="238" spans="1:22" x14ac:dyDescent="0.45">
      <c r="A238" t="s">
        <v>22</v>
      </c>
      <c r="B238" t="s">
        <v>23</v>
      </c>
      <c r="C238" t="s">
        <v>24</v>
      </c>
      <c r="D238" t="s">
        <v>31</v>
      </c>
      <c r="E238" t="s">
        <v>26</v>
      </c>
      <c r="F238" t="s">
        <v>37</v>
      </c>
      <c r="G238" t="s">
        <v>33</v>
      </c>
      <c r="H238" t="s">
        <v>36</v>
      </c>
      <c r="I238" t="s">
        <v>40</v>
      </c>
      <c r="J238" s="3">
        <v>44</v>
      </c>
      <c r="K238">
        <v>5000</v>
      </c>
      <c r="L238">
        <v>13532.03</v>
      </c>
      <c r="M238">
        <v>0</v>
      </c>
      <c r="N238">
        <v>0</v>
      </c>
      <c r="O238" s="3">
        <v>2</v>
      </c>
      <c r="P238">
        <f>SUM($L$2:L238)</f>
        <v>92871155.639999941</v>
      </c>
      <c r="Q238" s="4">
        <f t="shared" si="15"/>
        <v>0.99839334912585431</v>
      </c>
      <c r="R238">
        <f t="shared" si="16"/>
        <v>6766.0150000000003</v>
      </c>
      <c r="S238">
        <f t="shared" si="17"/>
        <v>6766.0150000000003</v>
      </c>
      <c r="T238">
        <v>237</v>
      </c>
      <c r="U238" s="3">
        <f t="shared" si="19"/>
        <v>11574.701107011071</v>
      </c>
      <c r="V238">
        <f t="shared" si="18"/>
        <v>48.838401295405362</v>
      </c>
    </row>
    <row r="239" spans="1:22" x14ac:dyDescent="0.45">
      <c r="A239" t="s">
        <v>38</v>
      </c>
      <c r="B239" t="s">
        <v>34</v>
      </c>
      <c r="C239" t="s">
        <v>24</v>
      </c>
      <c r="D239" t="s">
        <v>25</v>
      </c>
      <c r="E239" t="s">
        <v>35</v>
      </c>
      <c r="F239" t="s">
        <v>32</v>
      </c>
      <c r="G239" t="s">
        <v>28</v>
      </c>
      <c r="H239" t="s">
        <v>36</v>
      </c>
      <c r="I239" t="s">
        <v>40</v>
      </c>
      <c r="J239" s="3">
        <v>22</v>
      </c>
      <c r="K239">
        <v>5000</v>
      </c>
      <c r="L239">
        <v>13510.23</v>
      </c>
      <c r="M239">
        <v>0</v>
      </c>
      <c r="N239">
        <v>0</v>
      </c>
      <c r="O239" s="3">
        <v>3</v>
      </c>
      <c r="P239">
        <f>SUM($L$2:L239)</f>
        <v>92884665.869999945</v>
      </c>
      <c r="Q239" s="4">
        <f t="shared" si="15"/>
        <v>0.99853858823356456</v>
      </c>
      <c r="R239">
        <f t="shared" si="16"/>
        <v>4503.41</v>
      </c>
      <c r="S239">
        <f t="shared" si="17"/>
        <v>4503.41</v>
      </c>
      <c r="T239">
        <v>238</v>
      </c>
      <c r="U239" s="3">
        <f t="shared" si="19"/>
        <v>11577.701107011071</v>
      </c>
      <c r="V239">
        <f t="shared" si="18"/>
        <v>48.645802970634755</v>
      </c>
    </row>
    <row r="240" spans="1:22" x14ac:dyDescent="0.45">
      <c r="A240" t="s">
        <v>22</v>
      </c>
      <c r="B240" t="s">
        <v>23</v>
      </c>
      <c r="C240" t="s">
        <v>24</v>
      </c>
      <c r="D240" t="s">
        <v>31</v>
      </c>
      <c r="E240" t="s">
        <v>26</v>
      </c>
      <c r="F240" t="s">
        <v>37</v>
      </c>
      <c r="G240" t="s">
        <v>33</v>
      </c>
      <c r="H240" t="s">
        <v>36</v>
      </c>
      <c r="I240" t="s">
        <v>40</v>
      </c>
      <c r="J240" s="3">
        <v>41</v>
      </c>
      <c r="K240">
        <v>5000</v>
      </c>
      <c r="L240">
        <v>13222.45</v>
      </c>
      <c r="M240">
        <v>0</v>
      </c>
      <c r="N240">
        <v>0</v>
      </c>
      <c r="O240" s="3">
        <v>2</v>
      </c>
      <c r="P240">
        <f>SUM($L$2:L240)</f>
        <v>92897888.319999948</v>
      </c>
      <c r="Q240" s="4">
        <f t="shared" si="15"/>
        <v>0.99868073361819099</v>
      </c>
      <c r="R240">
        <f t="shared" si="16"/>
        <v>6611.2250000000004</v>
      </c>
      <c r="S240">
        <f t="shared" si="17"/>
        <v>6611.2250000000004</v>
      </c>
      <c r="T240">
        <v>239</v>
      </c>
      <c r="U240" s="3">
        <f t="shared" si="19"/>
        <v>11579.701107011071</v>
      </c>
      <c r="V240">
        <f t="shared" si="18"/>
        <v>48.450632246908249</v>
      </c>
    </row>
    <row r="241" spans="1:22" x14ac:dyDescent="0.45">
      <c r="A241" t="s">
        <v>38</v>
      </c>
      <c r="B241" t="s">
        <v>23</v>
      </c>
      <c r="C241" t="s">
        <v>39</v>
      </c>
      <c r="D241" t="s">
        <v>25</v>
      </c>
      <c r="E241" t="s">
        <v>26</v>
      </c>
      <c r="F241" t="s">
        <v>27</v>
      </c>
      <c r="G241" t="s">
        <v>28</v>
      </c>
      <c r="H241" t="s">
        <v>36</v>
      </c>
      <c r="I241" t="s">
        <v>30</v>
      </c>
      <c r="J241" s="3">
        <v>21</v>
      </c>
      <c r="K241">
        <v>1000</v>
      </c>
      <c r="L241">
        <v>11998.61</v>
      </c>
      <c r="M241">
        <v>0</v>
      </c>
      <c r="N241">
        <v>0</v>
      </c>
      <c r="O241" s="3">
        <v>12</v>
      </c>
      <c r="P241">
        <f>SUM($L$2:L241)</f>
        <v>92909886.929999948</v>
      </c>
      <c r="Q241" s="4">
        <f t="shared" si="15"/>
        <v>0.99880972234822452</v>
      </c>
      <c r="R241">
        <f t="shared" si="16"/>
        <v>999.88416666666672</v>
      </c>
      <c r="S241">
        <f t="shared" si="17"/>
        <v>999.88416666666672</v>
      </c>
      <c r="T241">
        <v>240</v>
      </c>
      <c r="U241" s="3">
        <f t="shared" si="19"/>
        <v>11591.701107011071</v>
      </c>
      <c r="V241">
        <f t="shared" si="18"/>
        <v>48.298754612546126</v>
      </c>
    </row>
    <row r="242" spans="1:22" x14ac:dyDescent="0.45">
      <c r="A242" t="s">
        <v>38</v>
      </c>
      <c r="B242" t="s">
        <v>34</v>
      </c>
      <c r="C242" t="s">
        <v>39</v>
      </c>
      <c r="D242" t="s">
        <v>31</v>
      </c>
      <c r="E242" t="s">
        <v>26</v>
      </c>
      <c r="F242" t="s">
        <v>27</v>
      </c>
      <c r="G242" t="s">
        <v>33</v>
      </c>
      <c r="H242" t="s">
        <v>36</v>
      </c>
      <c r="I242" t="s">
        <v>30</v>
      </c>
      <c r="J242" s="3">
        <v>41</v>
      </c>
      <c r="K242">
        <v>1000</v>
      </c>
      <c r="L242">
        <v>11676.49</v>
      </c>
      <c r="M242">
        <v>50000</v>
      </c>
      <c r="N242">
        <v>1</v>
      </c>
      <c r="O242" s="3">
        <v>77</v>
      </c>
      <c r="P242">
        <f>SUM($L$2:L242)</f>
        <v>92921563.419999942</v>
      </c>
      <c r="Q242" s="4">
        <f t="shared" si="15"/>
        <v>0.99893524818966362</v>
      </c>
      <c r="R242">
        <f t="shared" si="16"/>
        <v>151.64272727272726</v>
      </c>
      <c r="S242">
        <f t="shared" si="17"/>
        <v>800.99337662337655</v>
      </c>
      <c r="T242">
        <v>241</v>
      </c>
      <c r="U242" s="3">
        <f t="shared" si="19"/>
        <v>11668.701107011071</v>
      </c>
      <c r="V242">
        <f t="shared" si="18"/>
        <v>48.417846917058384</v>
      </c>
    </row>
    <row r="243" spans="1:22" x14ac:dyDescent="0.45">
      <c r="A243" t="s">
        <v>38</v>
      </c>
      <c r="B243" t="s">
        <v>34</v>
      </c>
      <c r="C243" t="s">
        <v>24</v>
      </c>
      <c r="D243" t="s">
        <v>31</v>
      </c>
      <c r="E243" t="s">
        <v>35</v>
      </c>
      <c r="F243" t="s">
        <v>32</v>
      </c>
      <c r="G243" t="s">
        <v>28</v>
      </c>
      <c r="H243" t="s">
        <v>36</v>
      </c>
      <c r="I243" t="s">
        <v>30</v>
      </c>
      <c r="J243" s="3">
        <v>24</v>
      </c>
      <c r="K243">
        <v>3000</v>
      </c>
      <c r="L243">
        <v>11044.32</v>
      </c>
      <c r="M243">
        <v>0</v>
      </c>
      <c r="N243">
        <v>0</v>
      </c>
      <c r="O243" s="3">
        <v>2</v>
      </c>
      <c r="P243">
        <f>SUM($L$2:L243)</f>
        <v>92932607.739999935</v>
      </c>
      <c r="Q243" s="4">
        <f t="shared" si="15"/>
        <v>0.99905397801010809</v>
      </c>
      <c r="R243">
        <f t="shared" si="16"/>
        <v>5522.16</v>
      </c>
      <c r="S243">
        <f t="shared" si="17"/>
        <v>5522.16</v>
      </c>
      <c r="T243">
        <v>242</v>
      </c>
      <c r="U243" s="3">
        <f t="shared" si="19"/>
        <v>11670.701107011071</v>
      </c>
      <c r="V243">
        <f t="shared" si="18"/>
        <v>48.226037632277155</v>
      </c>
    </row>
    <row r="244" spans="1:22" x14ac:dyDescent="0.45">
      <c r="A244" t="s">
        <v>38</v>
      </c>
      <c r="B244" t="s">
        <v>23</v>
      </c>
      <c r="C244" t="s">
        <v>24</v>
      </c>
      <c r="D244" t="s">
        <v>31</v>
      </c>
      <c r="E244" t="s">
        <v>26</v>
      </c>
      <c r="F244" t="s">
        <v>32</v>
      </c>
      <c r="G244" t="s">
        <v>28</v>
      </c>
      <c r="H244" t="s">
        <v>36</v>
      </c>
      <c r="I244" t="s">
        <v>40</v>
      </c>
      <c r="J244" s="3">
        <v>23</v>
      </c>
      <c r="K244">
        <v>5000</v>
      </c>
      <c r="L244">
        <v>9658.27</v>
      </c>
      <c r="M244">
        <v>0</v>
      </c>
      <c r="N244">
        <v>0</v>
      </c>
      <c r="O244" s="3">
        <v>1</v>
      </c>
      <c r="P244">
        <f>SUM($L$2:L244)</f>
        <v>92942266.009999931</v>
      </c>
      <c r="Q244" s="4">
        <f t="shared" si="15"/>
        <v>0.99915780736881055</v>
      </c>
      <c r="R244">
        <f t="shared" si="16"/>
        <v>9658.27</v>
      </c>
      <c r="S244">
        <f t="shared" si="17"/>
        <v>9658.27</v>
      </c>
      <c r="T244">
        <v>243</v>
      </c>
      <c r="U244" s="3">
        <f t="shared" si="19"/>
        <v>11671.701107011071</v>
      </c>
      <c r="V244">
        <f t="shared" si="18"/>
        <v>48.031691798399471</v>
      </c>
    </row>
    <row r="245" spans="1:22" x14ac:dyDescent="0.45">
      <c r="A245" t="s">
        <v>22</v>
      </c>
      <c r="B245" t="s">
        <v>23</v>
      </c>
      <c r="C245" t="s">
        <v>24</v>
      </c>
      <c r="D245" t="s">
        <v>31</v>
      </c>
      <c r="E245" t="s">
        <v>26</v>
      </c>
      <c r="F245" t="s">
        <v>37</v>
      </c>
      <c r="G245" t="s">
        <v>33</v>
      </c>
      <c r="H245" t="s">
        <v>36</v>
      </c>
      <c r="I245" t="s">
        <v>30</v>
      </c>
      <c r="J245" s="3">
        <v>32</v>
      </c>
      <c r="K245">
        <v>5000</v>
      </c>
      <c r="L245">
        <v>9644.35</v>
      </c>
      <c r="M245">
        <v>0</v>
      </c>
      <c r="N245">
        <v>0</v>
      </c>
      <c r="O245" s="3">
        <v>1</v>
      </c>
      <c r="P245">
        <f>SUM($L$2:L245)</f>
        <v>92951910.359999925</v>
      </c>
      <c r="Q245" s="4">
        <f t="shared" si="15"/>
        <v>0.99926148708325235</v>
      </c>
      <c r="R245">
        <f t="shared" si="16"/>
        <v>9644.35</v>
      </c>
      <c r="S245">
        <f t="shared" si="17"/>
        <v>9644.35</v>
      </c>
      <c r="T245">
        <v>244</v>
      </c>
      <c r="U245" s="3">
        <f t="shared" si="19"/>
        <v>11672.701107011071</v>
      </c>
      <c r="V245">
        <f t="shared" si="18"/>
        <v>47.838938963160125</v>
      </c>
    </row>
    <row r="246" spans="1:22" x14ac:dyDescent="0.45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t="s">
        <v>28</v>
      </c>
      <c r="H246" t="s">
        <v>36</v>
      </c>
      <c r="I246" t="s">
        <v>30</v>
      </c>
      <c r="J246" s="3">
        <v>29</v>
      </c>
      <c r="K246">
        <v>2000</v>
      </c>
      <c r="L246">
        <v>9090.32</v>
      </c>
      <c r="M246">
        <v>0</v>
      </c>
      <c r="N246">
        <v>0</v>
      </c>
      <c r="O246" s="3">
        <v>4</v>
      </c>
      <c r="P246">
        <f>SUM($L$2:L246)</f>
        <v>92961000.679999918</v>
      </c>
      <c r="Q246" s="4">
        <f t="shared" si="15"/>
        <v>0.99935921080561674</v>
      </c>
      <c r="R246">
        <f t="shared" si="16"/>
        <v>2272.58</v>
      </c>
      <c r="S246">
        <f t="shared" si="17"/>
        <v>2272.58</v>
      </c>
      <c r="T246">
        <v>245</v>
      </c>
      <c r="U246" s="3">
        <f t="shared" si="19"/>
        <v>11676.701107011071</v>
      </c>
      <c r="V246">
        <f t="shared" si="18"/>
        <v>47.660004518412535</v>
      </c>
    </row>
    <row r="247" spans="1:22" x14ac:dyDescent="0.45">
      <c r="A247" t="s">
        <v>38</v>
      </c>
      <c r="B247" t="s">
        <v>34</v>
      </c>
      <c r="C247" t="s">
        <v>24</v>
      </c>
      <c r="D247" t="s">
        <v>25</v>
      </c>
      <c r="E247" t="s">
        <v>35</v>
      </c>
      <c r="F247" t="s">
        <v>32</v>
      </c>
      <c r="G247" t="s">
        <v>28</v>
      </c>
      <c r="H247" t="s">
        <v>36</v>
      </c>
      <c r="I247" t="s">
        <v>40</v>
      </c>
      <c r="J247" s="3">
        <v>21</v>
      </c>
      <c r="K247">
        <v>0</v>
      </c>
      <c r="L247">
        <v>8253.61</v>
      </c>
      <c r="M247">
        <v>0</v>
      </c>
      <c r="N247">
        <v>0</v>
      </c>
      <c r="O247" s="3">
        <v>48.940959409594093</v>
      </c>
      <c r="P247">
        <f>SUM($L$2:L247)</f>
        <v>92969254.289999917</v>
      </c>
      <c r="Q247" s="4">
        <f t="shared" si="15"/>
        <v>0.99944793963938106</v>
      </c>
      <c r="R247">
        <f t="shared" si="16"/>
        <v>168.64422151851016</v>
      </c>
      <c r="S247">
        <f t="shared" si="17"/>
        <v>168.64422151851016</v>
      </c>
      <c r="T247">
        <v>246</v>
      </c>
      <c r="U247" s="3">
        <f t="shared" si="19"/>
        <v>11725.642066420665</v>
      </c>
      <c r="V247">
        <f t="shared" si="18"/>
        <v>47.665211652116525</v>
      </c>
    </row>
    <row r="248" spans="1:22" x14ac:dyDescent="0.45">
      <c r="A248" t="s">
        <v>22</v>
      </c>
      <c r="B248" t="s">
        <v>23</v>
      </c>
      <c r="C248" t="s">
        <v>24</v>
      </c>
      <c r="D248" t="s">
        <v>31</v>
      </c>
      <c r="E248" t="s">
        <v>35</v>
      </c>
      <c r="F248" t="s">
        <v>27</v>
      </c>
      <c r="G248" t="s">
        <v>33</v>
      </c>
      <c r="H248" t="s">
        <v>29</v>
      </c>
      <c r="I248" t="s">
        <v>30</v>
      </c>
      <c r="J248" s="3">
        <v>48</v>
      </c>
      <c r="K248">
        <v>1000</v>
      </c>
      <c r="L248">
        <v>6345.2</v>
      </c>
      <c r="M248">
        <v>48802.96</v>
      </c>
      <c r="N248">
        <v>4</v>
      </c>
      <c r="O248" s="3">
        <v>50</v>
      </c>
      <c r="P248">
        <f>SUM($L$2:L248)</f>
        <v>92975599.48999992</v>
      </c>
      <c r="Q248" s="4">
        <f t="shared" si="15"/>
        <v>0.99951615248151937</v>
      </c>
      <c r="R248">
        <f t="shared" si="16"/>
        <v>126.904</v>
      </c>
      <c r="S248">
        <f t="shared" si="17"/>
        <v>1102.9631999999999</v>
      </c>
      <c r="T248">
        <v>247</v>
      </c>
      <c r="U248" s="3">
        <f t="shared" si="19"/>
        <v>11775.642066420665</v>
      </c>
      <c r="V248">
        <f t="shared" si="18"/>
        <v>47.674664236520911</v>
      </c>
    </row>
    <row r="249" spans="1:22" x14ac:dyDescent="0.45">
      <c r="A249" t="s">
        <v>22</v>
      </c>
      <c r="B249" t="s">
        <v>23</v>
      </c>
      <c r="C249" t="s">
        <v>24</v>
      </c>
      <c r="D249" t="s">
        <v>31</v>
      </c>
      <c r="E249" t="s">
        <v>26</v>
      </c>
      <c r="F249" t="s">
        <v>27</v>
      </c>
      <c r="G249" t="s">
        <v>33</v>
      </c>
      <c r="H249" t="s">
        <v>29</v>
      </c>
      <c r="I249" t="s">
        <v>40</v>
      </c>
      <c r="J249" s="3">
        <v>40</v>
      </c>
      <c r="K249">
        <v>1000</v>
      </c>
      <c r="L249">
        <v>6070.88</v>
      </c>
      <c r="M249">
        <v>0</v>
      </c>
      <c r="N249">
        <v>0</v>
      </c>
      <c r="O249" s="3">
        <v>7</v>
      </c>
      <c r="P249">
        <f>SUM($L$2:L249)</f>
        <v>92981670.369999915</v>
      </c>
      <c r="Q249" s="4">
        <f t="shared" si="15"/>
        <v>0.99958141629969377</v>
      </c>
      <c r="R249">
        <f t="shared" si="16"/>
        <v>867.26857142857148</v>
      </c>
      <c r="S249">
        <f t="shared" si="17"/>
        <v>867.26857142857148</v>
      </c>
      <c r="T249">
        <v>248</v>
      </c>
      <c r="U249" s="3">
        <f t="shared" si="19"/>
        <v>11782.642066420665</v>
      </c>
      <c r="V249">
        <f t="shared" si="18"/>
        <v>47.510653493631715</v>
      </c>
    </row>
    <row r="250" spans="1:22" x14ac:dyDescent="0.45">
      <c r="A250" t="s">
        <v>38</v>
      </c>
      <c r="B250" t="s">
        <v>34</v>
      </c>
      <c r="C250" t="s">
        <v>24</v>
      </c>
      <c r="D250" t="s">
        <v>31</v>
      </c>
      <c r="E250" t="s">
        <v>26</v>
      </c>
      <c r="F250" t="s">
        <v>27</v>
      </c>
      <c r="G250" t="s">
        <v>33</v>
      </c>
      <c r="H250" t="s">
        <v>36</v>
      </c>
      <c r="I250" t="s">
        <v>30</v>
      </c>
      <c r="J250" s="3">
        <v>33</v>
      </c>
      <c r="K250">
        <v>2000</v>
      </c>
      <c r="L250">
        <v>5648.9</v>
      </c>
      <c r="M250">
        <v>0</v>
      </c>
      <c r="N250">
        <v>0</v>
      </c>
      <c r="O250" s="3">
        <v>2</v>
      </c>
      <c r="P250">
        <f>SUM($L$2:L250)</f>
        <v>92987319.269999921</v>
      </c>
      <c r="Q250" s="4">
        <f t="shared" si="15"/>
        <v>0.99964214370370863</v>
      </c>
      <c r="R250">
        <f t="shared" si="16"/>
        <v>2824.45</v>
      </c>
      <c r="S250">
        <f t="shared" si="17"/>
        <v>2824.45</v>
      </c>
      <c r="T250">
        <v>249</v>
      </c>
      <c r="U250" s="3">
        <f t="shared" si="19"/>
        <v>11784.642066420665</v>
      </c>
      <c r="V250">
        <f t="shared" si="18"/>
        <v>47.327879784821945</v>
      </c>
    </row>
    <row r="251" spans="1:22" x14ac:dyDescent="0.45">
      <c r="A251" t="s">
        <v>38</v>
      </c>
      <c r="B251" t="s">
        <v>34</v>
      </c>
      <c r="C251" t="s">
        <v>24</v>
      </c>
      <c r="D251" t="s">
        <v>31</v>
      </c>
      <c r="E251" t="s">
        <v>26</v>
      </c>
      <c r="F251" t="s">
        <v>27</v>
      </c>
      <c r="G251" t="s">
        <v>33</v>
      </c>
      <c r="H251" t="s">
        <v>36</v>
      </c>
      <c r="I251" t="s">
        <v>30</v>
      </c>
      <c r="J251" s="3">
        <v>51</v>
      </c>
      <c r="K251">
        <v>2000</v>
      </c>
      <c r="L251">
        <v>5525.09</v>
      </c>
      <c r="M251">
        <v>45000</v>
      </c>
      <c r="N251">
        <v>1</v>
      </c>
      <c r="O251" s="3">
        <v>12</v>
      </c>
      <c r="P251">
        <f>SUM($L$2:L251)</f>
        <v>92992844.359999925</v>
      </c>
      <c r="Q251" s="4">
        <f t="shared" si="15"/>
        <v>0.99970154011232781</v>
      </c>
      <c r="R251">
        <f t="shared" si="16"/>
        <v>460.42416666666668</v>
      </c>
      <c r="S251">
        <f t="shared" si="17"/>
        <v>4210.4241666666667</v>
      </c>
      <c r="T251">
        <v>250</v>
      </c>
      <c r="U251" s="3">
        <f t="shared" si="19"/>
        <v>11796.642066420665</v>
      </c>
      <c r="V251">
        <f t="shared" si="18"/>
        <v>47.186568265682659</v>
      </c>
    </row>
    <row r="252" spans="1:22" x14ac:dyDescent="0.45">
      <c r="A252" t="s">
        <v>22</v>
      </c>
      <c r="B252" t="s">
        <v>23</v>
      </c>
      <c r="C252" t="s">
        <v>24</v>
      </c>
      <c r="D252" t="s">
        <v>25</v>
      </c>
      <c r="E252" t="s">
        <v>35</v>
      </c>
      <c r="F252" t="s">
        <v>32</v>
      </c>
      <c r="G252" t="s">
        <v>28</v>
      </c>
      <c r="H252" t="s">
        <v>36</v>
      </c>
      <c r="I252" t="s">
        <v>40</v>
      </c>
      <c r="J252" s="3">
        <v>22</v>
      </c>
      <c r="K252">
        <v>5000</v>
      </c>
      <c r="L252">
        <v>4949.6400000000003</v>
      </c>
      <c r="M252">
        <v>0</v>
      </c>
      <c r="N252">
        <v>0</v>
      </c>
      <c r="O252" s="3">
        <v>1</v>
      </c>
      <c r="P252">
        <f>SUM($L$2:L252)</f>
        <v>92997793.999999925</v>
      </c>
      <c r="Q252" s="4">
        <f t="shared" si="15"/>
        <v>0.9997547502573132</v>
      </c>
      <c r="R252">
        <f t="shared" si="16"/>
        <v>4949.6400000000003</v>
      </c>
      <c r="S252">
        <f t="shared" si="17"/>
        <v>4949.6400000000003</v>
      </c>
      <c r="T252">
        <v>251</v>
      </c>
      <c r="U252" s="3">
        <f t="shared" si="19"/>
        <v>11797.642066420665</v>
      </c>
      <c r="V252">
        <f t="shared" si="18"/>
        <v>47.002558033548468</v>
      </c>
    </row>
    <row r="253" spans="1:22" x14ac:dyDescent="0.45">
      <c r="A253" t="s">
        <v>38</v>
      </c>
      <c r="B253" t="s">
        <v>23</v>
      </c>
      <c r="C253" t="s">
        <v>24</v>
      </c>
      <c r="D253" t="s">
        <v>25</v>
      </c>
      <c r="E253" t="s">
        <v>35</v>
      </c>
      <c r="F253" t="s">
        <v>32</v>
      </c>
      <c r="G253" t="s">
        <v>28</v>
      </c>
      <c r="H253" t="s">
        <v>36</v>
      </c>
      <c r="I253" t="s">
        <v>40</v>
      </c>
      <c r="J253" s="3">
        <v>23</v>
      </c>
      <c r="K253">
        <v>5000</v>
      </c>
      <c r="L253">
        <v>4628.58</v>
      </c>
      <c r="M253">
        <v>0</v>
      </c>
      <c r="N253">
        <v>0</v>
      </c>
      <c r="O253" s="3">
        <v>1</v>
      </c>
      <c r="P253">
        <f>SUM($L$2:L253)</f>
        <v>93002422.579999924</v>
      </c>
      <c r="Q253" s="4">
        <f t="shared" si="15"/>
        <v>0.99980450890902861</v>
      </c>
      <c r="R253">
        <f t="shared" si="16"/>
        <v>4628.58</v>
      </c>
      <c r="S253">
        <f t="shared" si="17"/>
        <v>4628.58</v>
      </c>
      <c r="T253">
        <v>252</v>
      </c>
      <c r="U253" s="3">
        <f t="shared" si="19"/>
        <v>11798.642066420665</v>
      </c>
      <c r="V253">
        <f t="shared" si="18"/>
        <v>46.820008200082007</v>
      </c>
    </row>
    <row r="254" spans="1:22" x14ac:dyDescent="0.45">
      <c r="A254" t="s">
        <v>38</v>
      </c>
      <c r="B254" t="s">
        <v>23</v>
      </c>
      <c r="C254" t="s">
        <v>24</v>
      </c>
      <c r="D254" t="s">
        <v>31</v>
      </c>
      <c r="E254" t="s">
        <v>26</v>
      </c>
      <c r="F254" t="s">
        <v>32</v>
      </c>
      <c r="G254" t="s">
        <v>33</v>
      </c>
      <c r="H254" t="s">
        <v>36</v>
      </c>
      <c r="I254" t="s">
        <v>30</v>
      </c>
      <c r="J254" s="3">
        <v>47</v>
      </c>
      <c r="K254">
        <v>2000</v>
      </c>
      <c r="L254">
        <v>3856.04</v>
      </c>
      <c r="M254">
        <v>0</v>
      </c>
      <c r="N254">
        <v>0</v>
      </c>
      <c r="O254" s="3">
        <v>1</v>
      </c>
      <c r="P254">
        <f>SUM($L$2:L254)</f>
        <v>93006278.61999993</v>
      </c>
      <c r="Q254" s="4">
        <f t="shared" si="15"/>
        <v>0.99984596251928515</v>
      </c>
      <c r="R254">
        <f t="shared" si="16"/>
        <v>3856.04</v>
      </c>
      <c r="S254">
        <f t="shared" si="17"/>
        <v>3856.04</v>
      </c>
      <c r="T254">
        <v>253</v>
      </c>
      <c r="U254" s="3">
        <f t="shared" si="19"/>
        <v>11799.642066420665</v>
      </c>
      <c r="V254">
        <f t="shared" si="18"/>
        <v>46.638901448303024</v>
      </c>
    </row>
    <row r="255" spans="1:22" x14ac:dyDescent="0.45">
      <c r="A255" t="s">
        <v>22</v>
      </c>
      <c r="B255" t="s">
        <v>23</v>
      </c>
      <c r="C255" t="s">
        <v>24</v>
      </c>
      <c r="D255" t="s">
        <v>31</v>
      </c>
      <c r="E255" t="s">
        <v>26</v>
      </c>
      <c r="F255" t="s">
        <v>32</v>
      </c>
      <c r="G255" t="s">
        <v>33</v>
      </c>
      <c r="H255" t="s">
        <v>36</v>
      </c>
      <c r="I255" t="s">
        <v>30</v>
      </c>
      <c r="J255" s="3">
        <v>50</v>
      </c>
      <c r="K255">
        <v>2000</v>
      </c>
      <c r="L255">
        <v>3692.91</v>
      </c>
      <c r="M255">
        <v>0</v>
      </c>
      <c r="N255">
        <v>0</v>
      </c>
      <c r="O255" s="3">
        <v>1</v>
      </c>
      <c r="P255">
        <f>SUM($L$2:L255)</f>
        <v>93009971.529999927</v>
      </c>
      <c r="Q255" s="4">
        <f t="shared" si="15"/>
        <v>0.99988566243211063</v>
      </c>
      <c r="R255">
        <f t="shared" si="16"/>
        <v>3692.91</v>
      </c>
      <c r="S255">
        <f t="shared" si="17"/>
        <v>3692.91</v>
      </c>
      <c r="T255">
        <v>254</v>
      </c>
      <c r="U255" s="3">
        <f t="shared" si="19"/>
        <v>11800.642066420665</v>
      </c>
      <c r="V255">
        <f t="shared" si="18"/>
        <v>46.459220733939624</v>
      </c>
    </row>
    <row r="256" spans="1:22" x14ac:dyDescent="0.45">
      <c r="A256" t="s">
        <v>38</v>
      </c>
      <c r="B256" t="s">
        <v>34</v>
      </c>
      <c r="C256" t="s">
        <v>24</v>
      </c>
      <c r="D256" t="s">
        <v>31</v>
      </c>
      <c r="E256" t="s">
        <v>26</v>
      </c>
      <c r="F256" t="s">
        <v>27</v>
      </c>
      <c r="G256" t="s">
        <v>33</v>
      </c>
      <c r="H256" t="s">
        <v>36</v>
      </c>
      <c r="I256" t="s">
        <v>30</v>
      </c>
      <c r="J256" s="3">
        <v>49</v>
      </c>
      <c r="K256">
        <v>11000</v>
      </c>
      <c r="L256">
        <v>3461.54</v>
      </c>
      <c r="M256">
        <v>208520.92</v>
      </c>
      <c r="N256">
        <v>121</v>
      </c>
      <c r="O256" s="3">
        <v>92</v>
      </c>
      <c r="P256">
        <f>SUM($L$2:L256)</f>
        <v>93013433.069999933</v>
      </c>
      <c r="Q256" s="4">
        <f t="shared" si="15"/>
        <v>0.99992287504661859</v>
      </c>
      <c r="R256">
        <f t="shared" si="16"/>
        <v>37.625434782608693</v>
      </c>
      <c r="S256">
        <f t="shared" si="17"/>
        <v>2304.1571739130436</v>
      </c>
      <c r="T256">
        <v>255</v>
      </c>
      <c r="U256" s="3">
        <f t="shared" si="19"/>
        <v>11892.642066420665</v>
      </c>
      <c r="V256">
        <f t="shared" si="18"/>
        <v>46.63781202517908</v>
      </c>
    </row>
    <row r="257" spans="1:22" x14ac:dyDescent="0.45">
      <c r="A257" t="s">
        <v>38</v>
      </c>
      <c r="B257" t="s">
        <v>34</v>
      </c>
      <c r="C257" t="s">
        <v>24</v>
      </c>
      <c r="D257" t="s">
        <v>31</v>
      </c>
      <c r="E257" t="s">
        <v>35</v>
      </c>
      <c r="F257" t="s">
        <v>27</v>
      </c>
      <c r="G257" t="s">
        <v>33</v>
      </c>
      <c r="H257" t="s">
        <v>36</v>
      </c>
      <c r="I257" t="s">
        <v>30</v>
      </c>
      <c r="J257" s="3">
        <v>41</v>
      </c>
      <c r="K257">
        <v>0</v>
      </c>
      <c r="L257">
        <v>2362.7199999999998</v>
      </c>
      <c r="M257">
        <v>0</v>
      </c>
      <c r="N257">
        <v>0</v>
      </c>
      <c r="O257" s="3">
        <v>62</v>
      </c>
      <c r="P257">
        <f>SUM($L$2:L257)</f>
        <v>93015795.789999932</v>
      </c>
      <c r="Q257" s="4">
        <f t="shared" si="15"/>
        <v>0.99994827500979977</v>
      </c>
      <c r="R257">
        <f t="shared" si="16"/>
        <v>38.108387096774187</v>
      </c>
      <c r="S257">
        <f t="shared" si="17"/>
        <v>38.108387096774187</v>
      </c>
      <c r="T257">
        <v>256</v>
      </c>
      <c r="U257" s="3">
        <f t="shared" si="19"/>
        <v>11954.642066420665</v>
      </c>
      <c r="V257">
        <f t="shared" si="18"/>
        <v>46.697820571955724</v>
      </c>
    </row>
    <row r="258" spans="1:22" x14ac:dyDescent="0.45">
      <c r="A258" t="s">
        <v>38</v>
      </c>
      <c r="B258" t="s">
        <v>34</v>
      </c>
      <c r="C258" t="s">
        <v>39</v>
      </c>
      <c r="D258" t="s">
        <v>25</v>
      </c>
      <c r="E258" t="s">
        <v>26</v>
      </c>
      <c r="F258" t="s">
        <v>27</v>
      </c>
      <c r="G258" t="s">
        <v>33</v>
      </c>
      <c r="H258" t="s">
        <v>29</v>
      </c>
      <c r="I258" t="s">
        <v>40</v>
      </c>
      <c r="J258" s="3">
        <v>25</v>
      </c>
      <c r="K258">
        <v>2000</v>
      </c>
      <c r="L258">
        <v>1851.28</v>
      </c>
      <c r="M258">
        <v>0</v>
      </c>
      <c r="N258">
        <v>0</v>
      </c>
      <c r="O258" s="3">
        <v>1</v>
      </c>
      <c r="P258">
        <f>SUM($L$2:L258)</f>
        <v>93017647.069999933</v>
      </c>
      <c r="Q258" s="4">
        <f t="shared" ref="Q258:Q267" si="20">P258/$P$267</f>
        <v>0.99996817683643935</v>
      </c>
      <c r="R258">
        <f t="shared" si="16"/>
        <v>1851.28</v>
      </c>
      <c r="S258">
        <f t="shared" si="17"/>
        <v>1851.28</v>
      </c>
      <c r="T258">
        <v>257</v>
      </c>
      <c r="U258" s="3">
        <f t="shared" si="19"/>
        <v>11955.642066420665</v>
      </c>
      <c r="V258">
        <f t="shared" si="18"/>
        <v>46.520008040547339</v>
      </c>
    </row>
    <row r="259" spans="1:22" x14ac:dyDescent="0.45">
      <c r="A259" t="s">
        <v>38</v>
      </c>
      <c r="B259" t="s">
        <v>23</v>
      </c>
      <c r="C259" t="s">
        <v>24</v>
      </c>
      <c r="D259" t="s">
        <v>31</v>
      </c>
      <c r="E259" t="s">
        <v>35</v>
      </c>
      <c r="F259" t="s">
        <v>32</v>
      </c>
      <c r="G259" t="s">
        <v>33</v>
      </c>
      <c r="H259" t="s">
        <v>36</v>
      </c>
      <c r="I259" t="s">
        <v>30</v>
      </c>
      <c r="J259" s="3">
        <v>50</v>
      </c>
      <c r="K259">
        <v>1000</v>
      </c>
      <c r="L259">
        <v>1044.32</v>
      </c>
      <c r="M259">
        <v>86431.360000000001</v>
      </c>
      <c r="N259">
        <v>7</v>
      </c>
      <c r="O259" s="3">
        <v>92</v>
      </c>
      <c r="P259">
        <f>SUM($L$2:L259)</f>
        <v>93018691.389999926</v>
      </c>
      <c r="Q259" s="4">
        <f t="shared" si="20"/>
        <v>0.99997940359608473</v>
      </c>
      <c r="R259">
        <f t="shared" ref="R259:R267" si="21">L259/O259</f>
        <v>11.351304347826087</v>
      </c>
      <c r="S259">
        <f t="shared" ref="S259:S267" si="22">(L259+M259)/O259</f>
        <v>950.82260869565221</v>
      </c>
      <c r="T259">
        <v>258</v>
      </c>
      <c r="U259" s="3">
        <f t="shared" si="19"/>
        <v>12047.642066420665</v>
      </c>
      <c r="V259">
        <f t="shared" si="18"/>
        <v>46.696287079149869</v>
      </c>
    </row>
    <row r="260" spans="1:22" x14ac:dyDescent="0.45">
      <c r="A260" t="s">
        <v>38</v>
      </c>
      <c r="B260" t="s">
        <v>34</v>
      </c>
      <c r="C260" t="s">
        <v>24</v>
      </c>
      <c r="D260" t="s">
        <v>31</v>
      </c>
      <c r="E260" t="s">
        <v>35</v>
      </c>
      <c r="F260" t="s">
        <v>32</v>
      </c>
      <c r="G260" t="s">
        <v>33</v>
      </c>
      <c r="H260" t="s">
        <v>36</v>
      </c>
      <c r="I260" t="s">
        <v>30</v>
      </c>
      <c r="J260" s="3">
        <v>28</v>
      </c>
      <c r="K260">
        <v>0</v>
      </c>
      <c r="L260">
        <v>990.89</v>
      </c>
      <c r="M260">
        <v>30500</v>
      </c>
      <c r="N260">
        <v>5</v>
      </c>
      <c r="O260" s="3">
        <v>85</v>
      </c>
      <c r="P260">
        <f>SUM($L$2:L260)</f>
        <v>93019682.279999927</v>
      </c>
      <c r="Q260" s="4">
        <f t="shared" si="20"/>
        <v>0.99999005596687618</v>
      </c>
      <c r="R260">
        <f t="shared" si="21"/>
        <v>11.657529411764706</v>
      </c>
      <c r="S260">
        <f t="shared" si="22"/>
        <v>370.48105882352939</v>
      </c>
      <c r="T260">
        <v>259</v>
      </c>
      <c r="U260" s="3">
        <f t="shared" si="19"/>
        <v>12132.642066420665</v>
      </c>
      <c r="V260">
        <f t="shared" ref="V260:V267" si="23">U260/T260</f>
        <v>46.844177862628051</v>
      </c>
    </row>
    <row r="261" spans="1:22" x14ac:dyDescent="0.45">
      <c r="A261" t="s">
        <v>22</v>
      </c>
      <c r="B261" t="s">
        <v>34</v>
      </c>
      <c r="C261" t="s">
        <v>24</v>
      </c>
      <c r="D261" t="s">
        <v>25</v>
      </c>
      <c r="E261" t="s">
        <v>35</v>
      </c>
      <c r="F261" t="s">
        <v>27</v>
      </c>
      <c r="G261" t="s">
        <v>33</v>
      </c>
      <c r="H261" t="s">
        <v>36</v>
      </c>
      <c r="I261" t="s">
        <v>30</v>
      </c>
      <c r="J261" s="3">
        <v>68</v>
      </c>
      <c r="K261">
        <v>0</v>
      </c>
      <c r="L261">
        <v>456.71</v>
      </c>
      <c r="M261">
        <v>1279709.7</v>
      </c>
      <c r="N261">
        <v>6</v>
      </c>
      <c r="O261" s="3">
        <v>92</v>
      </c>
      <c r="P261">
        <f>SUM($L$2:L261)</f>
        <v>93020138.98999992</v>
      </c>
      <c r="Q261" s="4">
        <f t="shared" si="20"/>
        <v>0.99999496573916591</v>
      </c>
      <c r="R261">
        <f t="shared" si="21"/>
        <v>4.9642391304347822</v>
      </c>
      <c r="S261">
        <f t="shared" si="22"/>
        <v>13914.852282608696</v>
      </c>
      <c r="T261">
        <v>260</v>
      </c>
      <c r="U261" s="3">
        <f t="shared" ref="U261:U267" si="24">O261+U260</f>
        <v>12224.642066420665</v>
      </c>
      <c r="V261">
        <f t="shared" si="23"/>
        <v>47.017854101617942</v>
      </c>
    </row>
    <row r="262" spans="1:22" x14ac:dyDescent="0.45">
      <c r="A262" t="s">
        <v>38</v>
      </c>
      <c r="B262" t="s">
        <v>34</v>
      </c>
      <c r="C262" t="s">
        <v>39</v>
      </c>
      <c r="D262" t="s">
        <v>25</v>
      </c>
      <c r="E262" t="s">
        <v>26</v>
      </c>
      <c r="F262" t="s">
        <v>27</v>
      </c>
      <c r="G262" t="s">
        <v>33</v>
      </c>
      <c r="H262" t="s">
        <v>36</v>
      </c>
      <c r="I262" t="s">
        <v>30</v>
      </c>
      <c r="J262" s="3">
        <v>56</v>
      </c>
      <c r="K262">
        <v>0</v>
      </c>
      <c r="L262">
        <v>244.38</v>
      </c>
      <c r="M262">
        <v>61294.879999999997</v>
      </c>
      <c r="N262">
        <v>1</v>
      </c>
      <c r="O262" s="3">
        <v>48.940959409594093</v>
      </c>
      <c r="P262">
        <f>SUM($L$2:L262)</f>
        <v>93020383.369999915</v>
      </c>
      <c r="Q262" s="4">
        <f t="shared" si="20"/>
        <v>0.99999759289896573</v>
      </c>
      <c r="R262">
        <f t="shared" si="21"/>
        <v>4.993363492422529</v>
      </c>
      <c r="S262">
        <f t="shared" si="22"/>
        <v>1257.4183412500943</v>
      </c>
      <c r="T262">
        <v>261</v>
      </c>
      <c r="U262" s="3">
        <f t="shared" si="24"/>
        <v>12273.583025830259</v>
      </c>
      <c r="V262">
        <f t="shared" si="23"/>
        <v>47.025222321188735</v>
      </c>
    </row>
    <row r="263" spans="1:22" x14ac:dyDescent="0.45">
      <c r="A263" t="s">
        <v>38</v>
      </c>
      <c r="B263" t="s">
        <v>23</v>
      </c>
      <c r="C263" t="s">
        <v>24</v>
      </c>
      <c r="D263" t="s">
        <v>31</v>
      </c>
      <c r="E263" t="s">
        <v>35</v>
      </c>
      <c r="F263" t="s">
        <v>32</v>
      </c>
      <c r="G263" t="s">
        <v>33</v>
      </c>
      <c r="H263" t="s">
        <v>36</v>
      </c>
      <c r="I263" t="s">
        <v>40</v>
      </c>
      <c r="J263" s="3">
        <v>37</v>
      </c>
      <c r="K263">
        <v>0</v>
      </c>
      <c r="L263">
        <v>187.33</v>
      </c>
      <c r="M263">
        <v>58300</v>
      </c>
      <c r="N263">
        <v>4</v>
      </c>
      <c r="O263" s="3">
        <v>90</v>
      </c>
      <c r="P263">
        <f>SUM($L$2:L263)</f>
        <v>93020570.699999914</v>
      </c>
      <c r="Q263" s="4">
        <f t="shared" si="20"/>
        <v>0.99999960675380362</v>
      </c>
      <c r="R263">
        <f t="shared" si="21"/>
        <v>2.0814444444444447</v>
      </c>
      <c r="S263">
        <f t="shared" si="22"/>
        <v>649.85922222222223</v>
      </c>
      <c r="T263">
        <v>262</v>
      </c>
      <c r="U263" s="3">
        <f t="shared" si="24"/>
        <v>12363.583025830259</v>
      </c>
      <c r="V263">
        <f t="shared" si="23"/>
        <v>47.189248190191833</v>
      </c>
    </row>
    <row r="264" spans="1:22" x14ac:dyDescent="0.45">
      <c r="A264" t="s">
        <v>38</v>
      </c>
      <c r="B264" t="s">
        <v>34</v>
      </c>
      <c r="C264" t="s">
        <v>24</v>
      </c>
      <c r="D264" t="s">
        <v>31</v>
      </c>
      <c r="E264" t="s">
        <v>35</v>
      </c>
      <c r="F264" t="s">
        <v>27</v>
      </c>
      <c r="G264" t="s">
        <v>33</v>
      </c>
      <c r="H264" t="s">
        <v>36</v>
      </c>
      <c r="I264" t="s">
        <v>40</v>
      </c>
      <c r="J264" s="3">
        <v>41.427586206896549</v>
      </c>
      <c r="K264">
        <v>0</v>
      </c>
      <c r="L264">
        <v>36.58</v>
      </c>
      <c r="M264">
        <v>183112.82</v>
      </c>
      <c r="N264">
        <v>2</v>
      </c>
      <c r="O264" s="3">
        <v>91</v>
      </c>
      <c r="P264">
        <f>SUM($L$2:L264)</f>
        <v>93020607.279999912</v>
      </c>
      <c r="Q264" s="4">
        <f t="shared" si="20"/>
        <v>1</v>
      </c>
      <c r="R264">
        <f t="shared" si="21"/>
        <v>0.40197802197802196</v>
      </c>
      <c r="S264">
        <f t="shared" si="22"/>
        <v>2012.6307692307691</v>
      </c>
      <c r="T264">
        <v>263</v>
      </c>
      <c r="U264" s="3">
        <f t="shared" si="24"/>
        <v>12454.583025830259</v>
      </c>
      <c r="V264">
        <f t="shared" si="23"/>
        <v>47.355828995552315</v>
      </c>
    </row>
    <row r="265" spans="1:22" x14ac:dyDescent="0.45">
      <c r="A265" t="s">
        <v>38</v>
      </c>
      <c r="B265" t="s">
        <v>34</v>
      </c>
      <c r="C265" t="s">
        <v>24</v>
      </c>
      <c r="D265" t="s">
        <v>31</v>
      </c>
      <c r="E265" t="s">
        <v>26</v>
      </c>
      <c r="F265" t="s">
        <v>27</v>
      </c>
      <c r="G265" t="s">
        <v>33</v>
      </c>
      <c r="H265" t="s">
        <v>36</v>
      </c>
      <c r="I265" t="s">
        <v>30</v>
      </c>
      <c r="J265" s="3">
        <v>38</v>
      </c>
      <c r="K265">
        <v>5000</v>
      </c>
      <c r="L265">
        <v>0</v>
      </c>
      <c r="M265">
        <v>0</v>
      </c>
      <c r="N265">
        <v>0</v>
      </c>
      <c r="O265" s="3">
        <v>13</v>
      </c>
      <c r="P265">
        <f>SUM($L$2:L265)</f>
        <v>93020607.279999912</v>
      </c>
      <c r="Q265" s="4">
        <f t="shared" si="20"/>
        <v>1</v>
      </c>
      <c r="R265">
        <f t="shared" si="21"/>
        <v>0</v>
      </c>
      <c r="S265">
        <f t="shared" si="22"/>
        <v>0</v>
      </c>
      <c r="T265">
        <v>264</v>
      </c>
      <c r="U265" s="3">
        <f t="shared" si="24"/>
        <v>12467.583025830259</v>
      </c>
      <c r="V265">
        <f t="shared" si="23"/>
        <v>47.225693279660071</v>
      </c>
    </row>
    <row r="266" spans="1:22" x14ac:dyDescent="0.45">
      <c r="A266" t="s">
        <v>22</v>
      </c>
      <c r="B266" t="s">
        <v>23</v>
      </c>
      <c r="C266" t="s">
        <v>24</v>
      </c>
      <c r="D266" t="s">
        <v>31</v>
      </c>
      <c r="E266" t="s">
        <v>26</v>
      </c>
      <c r="F266" t="s">
        <v>27</v>
      </c>
      <c r="G266" t="s">
        <v>33</v>
      </c>
      <c r="H266" t="s">
        <v>36</v>
      </c>
      <c r="I266" t="s">
        <v>30</v>
      </c>
      <c r="J266" s="3">
        <v>41</v>
      </c>
      <c r="K266">
        <v>10000</v>
      </c>
      <c r="L266">
        <v>0</v>
      </c>
      <c r="M266">
        <v>512489.75</v>
      </c>
      <c r="N266">
        <v>5</v>
      </c>
      <c r="O266" s="3">
        <v>45</v>
      </c>
      <c r="P266">
        <f>SUM($L$2:L266)</f>
        <v>93020607.279999912</v>
      </c>
      <c r="Q266" s="4">
        <f t="shared" si="20"/>
        <v>1</v>
      </c>
      <c r="R266">
        <f t="shared" si="21"/>
        <v>0</v>
      </c>
      <c r="S266">
        <f t="shared" si="22"/>
        <v>11388.661111111111</v>
      </c>
      <c r="T266">
        <v>265</v>
      </c>
      <c r="U266" s="3">
        <f t="shared" si="24"/>
        <v>12512.583025830259</v>
      </c>
      <c r="V266">
        <f t="shared" si="23"/>
        <v>47.217294437095319</v>
      </c>
    </row>
    <row r="267" spans="1:22" x14ac:dyDescent="0.45">
      <c r="A267" t="s">
        <v>38</v>
      </c>
      <c r="B267" t="s">
        <v>34</v>
      </c>
      <c r="C267" t="s">
        <v>24</v>
      </c>
      <c r="D267" t="s">
        <v>31</v>
      </c>
      <c r="E267" t="s">
        <v>35</v>
      </c>
      <c r="F267" t="s">
        <v>32</v>
      </c>
      <c r="G267" t="s">
        <v>33</v>
      </c>
      <c r="H267" t="s">
        <v>36</v>
      </c>
      <c r="I267" t="s">
        <v>30</v>
      </c>
      <c r="J267" s="3">
        <v>32</v>
      </c>
      <c r="K267">
        <v>3000</v>
      </c>
      <c r="L267">
        <v>0</v>
      </c>
      <c r="M267">
        <v>216245.71</v>
      </c>
      <c r="N267">
        <v>11</v>
      </c>
      <c r="O267" s="3">
        <v>74</v>
      </c>
      <c r="P267">
        <f>SUM($L$2:L267)</f>
        <v>93020607.279999912</v>
      </c>
      <c r="Q267" s="4">
        <f t="shared" si="20"/>
        <v>1</v>
      </c>
      <c r="R267">
        <f t="shared" si="21"/>
        <v>0</v>
      </c>
      <c r="S267">
        <f t="shared" si="22"/>
        <v>2922.2393243243241</v>
      </c>
      <c r="T267">
        <v>266</v>
      </c>
      <c r="U267" s="3">
        <f t="shared" si="24"/>
        <v>12586.583025830259</v>
      </c>
      <c r="V267">
        <f t="shared" si="23"/>
        <v>47.317981300113757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Kariya</dc:creator>
  <cp:lastModifiedBy>Harshal Kariya</cp:lastModifiedBy>
  <dcterms:created xsi:type="dcterms:W3CDTF">2026-03-14T03:23:28Z</dcterms:created>
  <dcterms:modified xsi:type="dcterms:W3CDTF">2026-03-14T03:24:18Z</dcterms:modified>
</cp:coreProperties>
</file>